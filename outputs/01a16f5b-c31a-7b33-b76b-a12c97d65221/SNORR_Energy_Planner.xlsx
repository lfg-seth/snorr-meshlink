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85cdc4bbe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eet" sheetId="1" r:id="R446a733eb03a45c3"/>
    <x:sheet xmlns:r="http://schemas.openxmlformats.org/officeDocument/2006/relationships" name="Backup pack" sheetId="2" r:id="R3187b576b4a64bf4"/>
    <x:sheet xmlns:r="http://schemas.openxmlformats.org/officeDocument/2006/relationships" name="Pack recharge" sheetId="3" r:id="R68929390fb8549b3"/>
    <x:sheet xmlns:r="http://schemas.openxmlformats.org/officeDocument/2006/relationships" name="Sizing" sheetId="4" r:id="Re2b7e360f8a3457f"/>
    <x:sheet xmlns:r="http://schemas.openxmlformats.org/officeDocument/2006/relationships" name="Measurements" sheetId="5" r:id="R8c0c62fca582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%"/>
    <x:numFmt numFmtId="202" formatCode="General"/>
    <x:numFmt numFmtId="203" formatCode="0"/>
    <x:numFmt numFmtId="204" formatCode="0.00"/>
    <x:numFmt numFmtId="205" formatCode="0.000"/>
    <x:numFmt numFmtId="206" formatCode="0.0%"/>
    <x:numFmt numFmtId="207" formatCode="mm/dd/yy hh:mm"/>
  </x:numFmts>
  <x:fonts count="6">
    <x:font>
      <x:sz val="11"/>
      <x:name val="Carlito"/>
    </x:font>
    <x:font>
      <x:sz val="11"/>
      <x:color rgb="FF223449"/>
      <x:name val="Arial"/>
    </x:font>
    <x:font>
      <x:b/>
      <x:sz val="16"/>
      <x:color rgb="FF223449"/>
      <x:name val="Arial"/>
    </x:font>
    <x:font>
      <x:sz val="11"/>
      <x:color rgb="FF5B6876"/>
      <x:name val="Arial"/>
    </x:font>
    <x:font>
      <x:b/>
      <x:sz val="11"/>
      <x:color rgb="FFFFFFFF"/>
      <x:name val="Arial"/>
    </x:font>
    <x:font>
      <x:b/>
      <x:sz val="11"/>
      <x:color rgb="FF2234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968"/>
      </x:patternFill>
    </x:fill>
    <x:fill>
      <x:patternFill patternType="solid">
        <x:fgColor rgb="FFEDF2F7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7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  <x:dxf>
      <x:font>
        <x:color rgb="FF982A25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86b75fec74885" /><Relationship Type="http://schemas.openxmlformats.org/officeDocument/2006/relationships/theme" Target="/xl/theme/theme1.xml" Id="R7fbeb0acd0854d92" /><Relationship Type="http://schemas.openxmlformats.org/officeDocument/2006/relationships/sharedStrings" Target="/xl/sharedStrings.xml" Id="R539463935f3141bd" /><Relationship Type="http://schemas.openxmlformats.org/officeDocument/2006/relationships/worksheet" Target="/xl/worksheets/sheet1.xml" Id="R446a733eb03a45c3" /><Relationship Type="http://schemas.openxmlformats.org/officeDocument/2006/relationships/worksheet" Target="/xl/worksheets/sheet2.xml" Id="R3187b576b4a64bf4" /><Relationship Type="http://schemas.openxmlformats.org/officeDocument/2006/relationships/worksheet" Target="/xl/worksheets/sheet3.xml" Id="R68929390fb8549b3" /><Relationship Type="http://schemas.openxmlformats.org/officeDocument/2006/relationships/worksheet" Target="/xl/worksheets/sheet4.xml" Id="Re2b7e360f8a3457f" /><Relationship Type="http://schemas.openxmlformats.org/officeDocument/2006/relationships/worksheet" Target="/xl/worksheets/sheet5.xml" Id="R8c0c62fca5824b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cd9f00905d47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Net charge needed by useful sun hours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RAK 20 mA</c:v>
          </c:tx>
          <c:spPr>
            <a:ln xmlns:a="http://schemas.openxmlformats.org/drawingml/2006/main" w="19050">
              <a:solidFill>
                <a:srgbClr val="294968"/>
              </a:solidFill>
              <a:prstDash val="solid"/>
            </a:ln>
          </c:spPr>
          <c:marker>
            <c:symbol val="none"/>
          </c:marker>
          <c:cat>
            <c:strRef>
              <c:f>'Sizing'!$B$45:$B$52</c:f>
              <c:strCache>
                <c:ptCount val="0"/>
              </c:strCache>
            </c:strRef>
          </c:cat>
          <c:val>
            <c:numRef>
              <c:f>'Sizing'!$C$45:$C$52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Heltec 160 mA</c:v>
          </c:tx>
          <c:spPr>
            <a:ln xmlns:a="http://schemas.openxmlformats.org/drawingml/2006/main" w="19050">
              <a:solidFill>
                <a:srgbClr val="BD6C2E"/>
              </a:solidFill>
              <a:prstDash val="solid"/>
            </a:ln>
          </c:spPr>
          <c:marker>
            <c:symbol val="none"/>
          </c:marker>
          <c:cat>
            <c:strRef>
              <c:f>'Sizing'!$B$45:$B$52</c:f>
              <c:strCache>
                <c:ptCount val="0"/>
              </c:strCache>
            </c:strRef>
          </c:cat>
          <c:val>
            <c:numRef>
              <c:f>'Sizing'!$D$45:$D$52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Useful sun, h/day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Net charge, mA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43</xdr:row>
      <xdr:rowOff>0</xdr:rowOff>
    </xdr:from>
    <xdr:to>
      <xdr:col>12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cd9f00905d47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f388d9995ce40a7" /></Relationships>
</file>

<file path=xl/worksheets/sheet1.xml><?xml version="1.0" encoding="utf-8"?>
<x:worksheet xmlns:x="http://schemas.openxmlformats.org/spreadsheetml/2006/main">
  <x:sheetPr>
    <x:tabColor rgb="FF29496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SNORR energy and runtime planner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 t="str">
        <x:v>Amber cells are editable. Bench current magnitudes are scenarios, not verified solar harvest.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8" t="str">
        <x:v>Node</x:v>
      </x:c>
      <x:c r="C6" s="8" t="str">
        <x:v>Usable Wh</x:v>
      </x:c>
      <x:c r="D6" s="8" t="str">
        <x:v>Battery mA</x:v>
      </x:c>
      <x:c r="E6" s="8" t="str">
        <x:v>Load W</x:v>
      </x:c>
      <x:c r="F6" s="8" t="str">
        <x:v>Battery hours</x:v>
      </x:c>
      <x:c r="G6" s="8" t="str">
        <x:v>Min sun h/day</x:v>
      </x:c>
      <x:c r="H6" s="8" t="str">
        <x:v>Min net mA</x:v>
      </x:c>
      <x:c r="I6" s="8" t="str">
        <x:v>Daily Wh +/-</x:v>
      </x:c>
      <x:c r="J6" s="8" t="str">
        <x:v>Solar balance</x:v>
      </x:c>
      <x:c r="K6" s="8" t="str">
        <x:v>Night coverage</x:v>
      </x:c>
      <x:c r="L6" s="2"/>
    </x:row>
    <x:row r="7" ht="22" customHeight="1">
      <x:c r="A7" s="2"/>
      <x:c r="B7" s="2" t="str">
        <x:v>R002</x:v>
      </x:c>
      <x:c r="C7" s="19" t="n">
        <x:f>C49</x:f>
        <x:v>29.376</x:v>
      </x:c>
      <x:c r="D7" s="19" t="n">
        <x:f>C31</x:f>
        <x:v>20</x:v>
      </x:c>
      <x:c r="E7" s="16" t="n">
        <x:f>C50</x:f>
        <x:v>0.072</x:v>
      </x:c>
      <x:c r="F7" s="19" t="n">
        <x:f>C51</x:f>
        <x:v>408.00000000000006</x:v>
      </x:c>
      <x:c r="G7" s="19" t="n">
        <x:f>C57</x:f>
        <x:v>23.369036027263874</x:v>
      </x:c>
      <x:c r="H7" s="18" t="n">
        <x:f>C58</x:f>
        <x:v>111.11111111111111</x:v>
      </x:c>
      <x:c r="I7" s="16" t="n">
        <x:f>C56</x:f>
        <x:v>-1.432224</x:v>
      </x:c>
      <x:c r="J7" s="2" t="str">
        <x:f>C64</x:f>
        <x:v>Deficit</x:v>
      </x:c>
      <x:c r="K7" s="2" t="str">
        <x:f>C63</x:f>
        <x:v>Yes</x:v>
      </x:c>
      <x:c r="L7" s="2"/>
    </x:row>
    <x:row r="8" ht="22" customHeight="1">
      <x:c r="A8" s="2"/>
      <x:c r="B8" s="2" t="str">
        <x:v>R004</x:v>
      </x:c>
      <x:c r="C8" s="19" t="n">
        <x:f>D49</x:f>
        <x:v>29.376</x:v>
      </x:c>
      <x:c r="D8" s="19" t="n">
        <x:f>D31</x:f>
        <x:v>20</x:v>
      </x:c>
      <x:c r="E8" s="16" t="n">
        <x:f>D50</x:f>
        <x:v>0.072</x:v>
      </x:c>
      <x:c r="F8" s="19" t="n">
        <x:f>D51</x:f>
        <x:v>408.00000000000006</x:v>
      </x:c>
      <x:c r="G8" s="19" t="n">
        <x:f>D57</x:f>
        <x:v>4.124065641378125</x:v>
      </x:c>
      <x:c r="H8" s="18" t="n">
        <x:f>D58</x:f>
        <x:v>111.11111111111111</x:v>
      </x:c>
      <x:c r="I8" s="16" t="n">
        <x:f>D56</x:f>
        <x:v>-0.05198399999999981</x:v>
      </x:c>
      <x:c r="J8" s="2" t="str">
        <x:f>D64</x:f>
        <x:v>Deficit</x:v>
      </x:c>
      <x:c r="K8" s="2" t="str">
        <x:f>D63</x:f>
        <x:v>Yes</x:v>
      </x:c>
      <x:c r="L8" s="2"/>
    </x:row>
    <x:row r="9" ht="22" customHeight="1">
      <x:c r="A9" s="2"/>
      <x:c r="B9" s="2" t="str">
        <x:v>R006</x:v>
      </x:c>
      <x:c r="C9" s="19" t="n">
        <x:f>E49</x:f>
        <x:v>29.376</x:v>
      </x:c>
      <x:c r="D9" s="19" t="n">
        <x:f>E31</x:f>
        <x:v>20</x:v>
      </x:c>
      <x:c r="E9" s="16" t="n">
        <x:f>E50</x:f>
        <x:v>0.072</x:v>
      </x:c>
      <x:c r="F9" s="19" t="n">
        <x:f>E51</x:f>
        <x:v>408.00000000000006</x:v>
      </x:c>
      <x:c r="G9" s="19" t="n">
        <x:f>E57</x:f>
        <x:v>2.4</x:v>
      </x:c>
      <x:c r="H9" s="18" t="n">
        <x:f>E58</x:f>
        <x:v>111.11111111111111</x:v>
      </x:c>
      <x:c r="I9" s="16" t="n">
        <x:f>E56</x:f>
        <x:v>1.1520000000000001</x:v>
      </x:c>
      <x:c r="J9" s="2" t="str">
        <x:f>E64</x:f>
        <x:v>Balanced scenario</x:v>
      </x:c>
      <x:c r="K9" s="2" t="str">
        <x:f>E63</x:f>
        <x:v>Yes</x:v>
      </x:c>
      <x:c r="L9" s="2"/>
    </x:row>
    <x:row r="10" ht="22" customHeight="1">
      <x:c r="A10" s="2"/>
      <x:c r="B10" s="2" t="str">
        <x:v>G003</x:v>
      </x:c>
      <x:c r="C10" s="19" t="n">
        <x:f>F49</x:f>
        <x:v>58.752</x:v>
      </x:c>
      <x:c r="D10" s="19" t="n">
        <x:f>F31</x:f>
        <x:v>155</x:v>
      </x:c>
      <x:c r="E10" s="16" t="n">
        <x:f>F50</x:f>
        <x:v>0.558</x:v>
      </x:c>
      <x:c r="F10" s="19" t="n">
        <x:f>F51</x:f>
        <x:v>105.29032258064515</x:v>
      </x:c>
      <x:c r="G10" s="19" t="n">
        <x:f>F57</x:f>
        <x:v>6.148760330578513</x:v>
      </x:c>
      <x:c r="H10" s="18" t="n">
        <x:f>F58</x:f>
        <x:v>861.1111111111111</x:v>
      </x:c>
      <x:c r="I10" s="16" t="n">
        <x:f>F56</x:f>
        <x:v>-4.68</x:v>
      </x:c>
      <x:c r="J10" s="2" t="str">
        <x:f>F64</x:f>
        <x:v>Deficit</x:v>
      </x:c>
      <x:c r="K10" s="2" t="str">
        <x:f>F63</x:f>
        <x:v>Yes</x:v>
      </x:c>
      <x:c r="L10" s="2"/>
    </x:row>
    <x:row r="11" ht="22" customHeight="1">
      <x:c r="A11" s="2"/>
      <x:c r="B11" s="2" t="str">
        <x:v>G004</x:v>
      </x:c>
      <x:c r="C11" s="19" t="n">
        <x:f>G49</x:f>
        <x:v>29.376</x:v>
      </x:c>
      <x:c r="D11" s="19" t="n">
        <x:f>G31</x:f>
        <x:v>155</x:v>
      </x:c>
      <x:c r="E11" s="16" t="n">
        <x:f>G50</x:f>
        <x:v>0.558</x:v>
      </x:c>
      <x:c r="F11" s="19" t="n">
        <x:f>G51</x:f>
        <x:v>52.64516129032258</x:v>
      </x:c>
      <x:c r="G11" s="19" t="n">
        <x:f>G57</x:f>
        <x:v>5.7565534957135345</x:v>
      </x:c>
      <x:c r="H11" s="18" t="n">
        <x:f>G58</x:f>
        <x:v>861.1111111111111</x:v>
      </x:c>
      <x:c r="I11" s="16" t="n">
        <x:f>G56</x:f>
        <x:v>-4.086432</x:v>
      </x:c>
      <x:c r="J11" s="2" t="str">
        <x:f>G64</x:f>
        <x:v>Deficit</x:v>
      </x:c>
      <x:c r="K11" s="2" t="str">
        <x:f>G63</x:f>
        <x:v>Yes</x:v>
      </x:c>
      <x:c r="L11" s="2"/>
    </x:row>
    <x:row r="12" ht="22" customHeight="1">
      <x:c r="A12" s="2"/>
      <x:c r="B12" s="2" t="str">
        <x:v>Custom</x:v>
      </x:c>
      <x:c r="C12" s="19" t="n">
        <x:f>H49</x:f>
        <x:v>8.88</x:v>
      </x:c>
      <x:c r="D12" s="19" t="n">
        <x:f>H31</x:f>
        <x:v>100</x:v>
      </x:c>
      <x:c r="E12" s="16" t="n">
        <x:f>H50</x:f>
        <x:v>0.37</x:v>
      </x:c>
      <x:c r="F12" s="19" t="n">
        <x:f>H51</x:f>
        <x:v>24.000000000000004</x:v>
      </x:c>
      <x:c r="G12" s="19" t="n">
        <x:f>H57</x:f>
        <x:v>5.217391304347825</x:v>
      </x:c>
      <x:c r="H12" s="18" t="n">
        <x:f>H58</x:f>
        <x:v>555.5555555555555</x:v>
      </x:c>
      <x:c r="I12" s="16" t="n">
        <x:f>H56</x:f>
        <x:v>-2.072</x:v>
      </x:c>
      <x:c r="J12" s="2" t="str">
        <x:f>H64</x:f>
        <x:v>Deficit</x:v>
      </x:c>
      <x:c r="K12" s="2" t="str">
        <x:f>H63</x:f>
        <x:v>Yes</x:v>
      </x:c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10" t="str">
        <x:v>Shared planning controls</x:v>
      </x:c>
      <x:c r="C15" s="10"/>
      <x:c r="D15" s="10"/>
      <x:c r="E15" s="10"/>
      <x:c r="F15" s="10"/>
      <x:c r="G15" s="10"/>
      <x:c r="H15" s="10"/>
      <x:c r="I15" s="10"/>
      <x:c r="J15" s="10"/>
      <x:c r="K15" s="10"/>
      <x:c r="L15" s="2"/>
    </x:row>
    <x:row r="16" ht="22" customHeight="1">
      <x:c r="A16" s="2"/>
      <x:c r="B16" s="2" t="str">
        <x:v>Useful sun, h/day</x:v>
      </x:c>
      <x:c r="C16" s="12" t="n">
        <x:v>4</x:v>
      </x:c>
      <x:c r="D16" s="2"/>
      <x:c r="E16" s="2" t="str">
        <x:v>Charge retention</x:v>
      </x:c>
      <x:c r="F16" s="13" t="n">
        <x:v>0.9</x:v>
      </x:c>
      <x:c r="G16" s="2"/>
      <x:c r="H16" s="2" t="str">
        <x:v>No-sun target, days</x:v>
      </x:c>
      <x:c r="I16" s="12" t="n">
        <x:v>3</x:v>
      </x:c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4" t="str">
        <x:v>Useful hours sustain the entered current. Net charging excludes the daytime node load.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4" t="str">
        <x:v>Default load: RAK 20 mA assumed. Heltec 155 mA from prior slider; owner recalled 160 mA at battery.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4" customHeight="1">
      <x:c r="A22" s="2"/>
      <x:c r="B22" s="8" t="str">
        <x:v>Editable node inputs</x:v>
      </x:c>
      <x:c r="C22" s="8" t="str">
        <x:v>R002</x:v>
      </x:c>
      <x:c r="D22" s="8" t="str">
        <x:v>R004</x:v>
      </x:c>
      <x:c r="E22" s="8" t="str">
        <x:v>R006</x:v>
      </x:c>
      <x:c r="F22" s="8" t="str">
        <x:v>G003</x:v>
      </x:c>
      <x:c r="G22" s="8" t="str">
        <x:v>G004</x:v>
      </x:c>
      <x:c r="H22" s="8" t="str">
        <x:v>Custom</x:v>
      </x:c>
      <x:c r="I22" s="2"/>
      <x:c r="J22" s="2"/>
      <x:c r="K22" s="2"/>
      <x:c r="L22" s="2"/>
    </x:row>
    <x:row r="23" ht="22" customHeight="1">
      <x:c r="A23" s="2"/>
      <x:c r="B23" s="2" t="str">
        <x:v>Hardware / scenario</x:v>
      </x:c>
      <x:c r="C23" s="14" t="str">
        <x:v>RAK4631</x:v>
      </x:c>
      <x:c r="D23" s="14" t="str">
        <x:v>RAK4631</x:v>
      </x:c>
      <x:c r="E23" s="14" t="str">
        <x:v>RAK4631</x:v>
      </x:c>
      <x:c r="F23" s="14" t="str">
        <x:v>Heltec V3</x:v>
      </x:c>
      <x:c r="G23" s="14" t="str">
        <x:v>Heltec V4 + GPS</x:v>
      </x:c>
      <x:c r="H23" s="14" t="str">
        <x:v>Example node</x:v>
      </x:c>
      <x:c r="I23" s="2"/>
      <x:c r="J23" s="2"/>
      <x:c r="K23" s="2"/>
      <x:c r="L23" s="2"/>
    </x:row>
    <x:row r="24" ht="22" customHeight="1">
      <x:c r="A24" s="2"/>
      <x:c r="B24" s="2" t="str">
        <x:v>Cells in series (S)</x:v>
      </x:c>
      <x:c r="C24" s="15" t="n">
        <x:v>1</x:v>
      </x:c>
      <x:c r="D24" s="15" t="n">
        <x:v>1</x:v>
      </x:c>
      <x:c r="E24" s="15" t="n">
        <x:v>1</x:v>
      </x:c>
      <x:c r="F24" s="15" t="n">
        <x:v>1</x:v>
      </x:c>
      <x:c r="G24" s="15" t="n">
        <x:v>1</x:v>
      </x:c>
      <x:c r="H24" s="15" t="n">
        <x:v>1</x:v>
      </x:c>
      <x:c r="I24" s="2"/>
      <x:c r="J24" s="2"/>
      <x:c r="K24" s="2"/>
      <x:c r="L24" s="2"/>
    </x:row>
    <x:row r="25" ht="22" customHeight="1">
      <x:c r="A25" s="2"/>
      <x:c r="B25" s="2" t="str">
        <x:v>Cells in parallel (P)</x:v>
      </x:c>
      <x:c r="C25" s="15" t="n">
        <x:v>4</x:v>
      </x:c>
      <x:c r="D25" s="15" t="n">
        <x:v>4</x:v>
      </x:c>
      <x:c r="E25" s="15" t="n">
        <x:v>4</x:v>
      </x:c>
      <x:c r="F25" s="15" t="n">
        <x:v>8</x:v>
      </x:c>
      <x:c r="G25" s="15" t="n">
        <x:v>4</x:v>
      </x:c>
      <x:c r="H25" s="15" t="n">
        <x:v>1</x:v>
      </x:c>
      <x:c r="I25" s="2"/>
      <x:c r="J25" s="2"/>
      <x:c r="K25" s="2"/>
      <x:c r="L25" s="2"/>
    </x:row>
    <x:row r="26" ht="22" customHeight="1">
      <x:c r="A26" s="2"/>
      <x:c r="B26" s="2" t="str">
        <x:v>Cell rated capacity, mAh</x:v>
      </x:c>
      <x:c r="C26" s="15" t="n">
        <x:v>2550</x:v>
      </x:c>
      <x:c r="D26" s="15" t="n">
        <x:v>2550</x:v>
      </x:c>
      <x:c r="E26" s="15" t="n">
        <x:v>2550</x:v>
      </x:c>
      <x:c r="F26" s="15" t="n">
        <x:v>2550</x:v>
      </x:c>
      <x:c r="G26" s="15" t="n">
        <x:v>2550</x:v>
      </x:c>
      <x:c r="H26" s="15" t="n">
        <x:v>3000</x:v>
      </x:c>
      <x:c r="I26" s="2"/>
      <x:c r="J26" s="2"/>
      <x:c r="K26" s="2"/>
      <x:c r="L26" s="2"/>
    </x:row>
    <x:row r="27" ht="22" customHeight="1">
      <x:c r="A27" s="2"/>
      <x:c r="B27" s="2" t="str">
        <x:v>Cell nominal voltage, V</x:v>
      </x:c>
      <x:c r="C27" s="12" t="n">
        <x:v>3.6</x:v>
      </x:c>
      <x:c r="D27" s="12" t="n">
        <x:v>3.6</x:v>
      </x:c>
      <x:c r="E27" s="12" t="n">
        <x:v>3.6</x:v>
      </x:c>
      <x:c r="F27" s="12" t="n">
        <x:v>3.6</x:v>
      </x:c>
      <x:c r="G27" s="12" t="n">
        <x:v>3.6</x:v>
      </x:c>
      <x:c r="H27" s="12" t="n">
        <x:v>3.7</x:v>
      </x:c>
      <x:c r="I27" s="2"/>
      <x:c r="J27" s="2"/>
      <x:c r="K27" s="2"/>
      <x:c r="L27" s="2"/>
    </x:row>
    <x:row r="28" ht="22" customHeight="1">
      <x:c r="A28" s="2"/>
      <x:c r="B28" s="2" t="str">
        <x:v>Capacity condition / cold factor</x:v>
      </x:c>
      <x:c r="C28" s="13" t="n">
        <x:v>1</x:v>
      </x:c>
      <x:c r="D28" s="13" t="n">
        <x:v>1</x:v>
      </x:c>
      <x:c r="E28" s="13" t="n">
        <x:v>1</x:v>
      </x:c>
      <x:c r="F28" s="13" t="n">
        <x:v>1</x:v>
      </x:c>
      <x:c r="G28" s="13" t="n">
        <x:v>1</x:v>
      </x:c>
      <x:c r="H28" s="13" t="n">
        <x:v>1</x:v>
      </x:c>
      <x:c r="I28" s="2"/>
      <x:c r="J28" s="2"/>
      <x:c r="K28" s="2"/>
      <x:c r="L28" s="2"/>
    </x:row>
    <x:row r="29" ht="22" customHeight="1">
      <x:c r="A29" s="2"/>
      <x:c r="B29" s="2" t="str">
        <x:v>Starting state of charge</x:v>
      </x:c>
      <x:c r="C29" s="13" t="n">
        <x:v>1</x:v>
      </x:c>
      <x:c r="D29" s="13" t="n">
        <x:v>1</x:v>
      </x:c>
      <x:c r="E29" s="13" t="n">
        <x:v>1</x:v>
      </x:c>
      <x:c r="F29" s="13" t="n">
        <x:v>1</x:v>
      </x:c>
      <x:c r="G29" s="13" t="n">
        <x:v>1</x:v>
      </x:c>
      <x:c r="H29" s="13" t="n">
        <x:v>1</x:v>
      </x:c>
      <x:c r="I29" s="2"/>
      <x:c r="J29" s="2"/>
      <x:c r="K29" s="2"/>
      <x:c r="L29" s="2"/>
    </x:row>
    <x:row r="30" ht="22" customHeight="1">
      <x:c r="A30" s="2"/>
      <x:c r="B30" s="2" t="str">
        <x:v>Reserve state of charge</x:v>
      </x:c>
      <x:c r="C30" s="13" t="n">
        <x:v>0.2</x:v>
      </x:c>
      <x:c r="D30" s="13" t="n">
        <x:v>0.2</x:v>
      </x:c>
      <x:c r="E30" s="13" t="n">
        <x:v>0.2</x:v>
      </x:c>
      <x:c r="F30" s="13" t="n">
        <x:v>0.2</x:v>
      </x:c>
      <x:c r="G30" s="13" t="n">
        <x:v>0.2</x:v>
      </x:c>
      <x:c r="H30" s="13" t="n">
        <x:v>0.2</x:v>
      </x:c>
      <x:c r="I30" s="2"/>
      <x:c r="J30" s="2"/>
      <x:c r="K30" s="2"/>
      <x:c r="L30" s="2"/>
    </x:row>
    <x:row r="31" ht="22" customHeight="1">
      <x:c r="A31" s="2"/>
      <x:c r="B31" s="2" t="str">
        <x:v>Average battery discharge, mA</x:v>
      </x:c>
      <x:c r="C31" s="12" t="n">
        <x:v>20</x:v>
      </x:c>
      <x:c r="D31" s="12" t="n">
        <x:v>20</x:v>
      </x:c>
      <x:c r="E31" s="12" t="n">
        <x:v>20</x:v>
      </x:c>
      <x:c r="F31" s="12" t="n">
        <x:v>155</x:v>
      </x:c>
      <x:c r="G31" s="12" t="n">
        <x:v>155</x:v>
      </x:c>
      <x:c r="H31" s="12" t="n">
        <x:v>100</x:v>
      </x:c>
      <x:c r="I31" s="2"/>
      <x:c r="J31" s="2"/>
      <x:c r="K31" s="2"/>
      <x:c r="L31" s="2"/>
    </x:row>
    <x:row r="32" ht="22" customHeight="1">
      <x:c r="A32" s="2"/>
      <x:c r="B32" s="2" t="str">
        <x:v>Sunny-current input mode</x:v>
      </x:c>
      <x:c r="C32" s="14" t="str">
        <x:v>Net battery</x:v>
      </x:c>
      <x:c r="D32" s="14" t="str">
        <x:v>Net battery</x:v>
      </x:c>
      <x:c r="E32" s="14" t="str">
        <x:v>Net battery</x:v>
      </x:c>
      <x:c r="F32" s="14" t="str">
        <x:v>Net battery</x:v>
      </x:c>
      <x:c r="G32" s="14" t="str">
        <x:v>Net battery</x:v>
      </x:c>
      <x:c r="H32" s="14" t="str">
        <x:v>Panel watts</x:v>
      </x:c>
      <x:c r="I32" s="2"/>
      <x:c r="J32" s="2"/>
      <x:c r="K32" s="2"/>
      <x:c r="L32" s="2"/>
    </x:row>
    <x:row r="33" ht="22" customHeight="1">
      <x:c r="A33" s="2"/>
      <x:c r="B33" s="2" t="str">
        <x:v>Net battery charging, mA</x:v>
      </x:c>
      <x:c r="C33" s="12" t="n">
        <x:v>0.6</x:v>
      </x:c>
      <x:c r="D33" s="12" t="n">
        <x:v>107.1</x:v>
      </x:c>
      <x:c r="E33" s="12" t="n">
        <x:v>200</x:v>
      </x:c>
      <x:c r="F33" s="12" t="n">
        <x:v>500</x:v>
      </x:c>
      <x:c r="G33" s="12" t="n">
        <x:v>545.8</x:v>
      </x:c>
      <x:c r="H33" s="12"/>
      <x:c r="I33" s="2"/>
      <x:c r="J33" s="2"/>
      <x:c r="K33" s="2"/>
      <x:c r="L33" s="2"/>
    </x:row>
    <x:row r="34" ht="22" customHeight="1">
      <x:c r="A34" s="2"/>
      <x:c r="B34" s="2" t="str">
        <x:v>Gross supply, mA at battery V</x:v>
      </x:c>
      <x:c r="C34" s="12"/>
      <x:c r="D34" s="12"/>
      <x:c r="E34" s="12"/>
      <x:c r="F34" s="12"/>
      <x:c r="G34" s="12"/>
      <x:c r="H34" s="12"/>
      <x:c r="I34" s="2"/>
      <x:c r="J34" s="2"/>
      <x:c r="K34" s="2"/>
      <x:c r="L34" s="2"/>
    </x:row>
    <x:row r="35" ht="22" customHeight="1">
      <x:c r="A35" s="2"/>
      <x:c r="B35" s="2" t="str">
        <x:v>Panel nameplate total, W</x:v>
      </x:c>
      <x:c r="C35" s="12"/>
      <x:c r="D35" s="12"/>
      <x:c r="E35" s="12"/>
      <x:c r="F35" s="12"/>
      <x:c r="G35" s="12"/>
      <x:c r="H35" s="12" t="n">
        <x:v>6</x:v>
      </x:c>
      <x:c r="I35" s="2"/>
      <x:c r="J35" s="2"/>
      <x:c r="K35" s="2"/>
      <x:c r="L35" s="2"/>
    </x:row>
    <x:row r="36" ht="22" customHeight="1">
      <x:c r="A36" s="2"/>
      <x:c r="B36" s="2" t="str">
        <x:v>Panel sunlight / wiring derating</x:v>
      </x:c>
      <x:c r="C36" s="13" t="n">
        <x:v>0.75</x:v>
      </x:c>
      <x:c r="D36" s="13" t="n">
        <x:v>0.75</x:v>
      </x:c>
      <x:c r="E36" s="13" t="n">
        <x:v>0.75</x:v>
      </x:c>
      <x:c r="F36" s="13" t="n">
        <x:v>0.75</x:v>
      </x:c>
      <x:c r="G36" s="13" t="n">
        <x:v>0.75</x:v>
      </x:c>
      <x:c r="H36" s="13" t="n">
        <x:v>0.75</x:v>
      </x:c>
      <x:c r="I36" s="2"/>
      <x:c r="J36" s="2"/>
      <x:c r="K36" s="2"/>
      <x:c r="L36" s="2"/>
    </x:row>
    <x:row r="37" ht="22" customHeight="1">
      <x:c r="A37" s="2"/>
      <x:c r="B37" s="2" t="str">
        <x:v>Panel to battery-rail efficiency</x:v>
      </x:c>
      <x:c r="C37" s="13" t="n">
        <x:v>0.85</x:v>
      </x:c>
      <x:c r="D37" s="13" t="n">
        <x:v>0.85</x:v>
      </x:c>
      <x:c r="E37" s="13" t="n">
        <x:v>0.85</x:v>
      </x:c>
      <x:c r="F37" s="13" t="n">
        <x:v>0.85</x:v>
      </x:c>
      <x:c r="G37" s="13" t="n">
        <x:v>0.85</x:v>
      </x:c>
      <x:c r="H37" s="13" t="n">
        <x:v>0.85</x:v>
      </x:c>
      <x:c r="I37" s="2"/>
      <x:c r="J37" s="2"/>
      <x:c r="K37" s="2"/>
      <x:c r="L37" s="2"/>
    </x:row>
    <x:row r="38" ht="22" customHeight="1">
      <x:c r="A38" s="2"/>
      <x:c r="B38" s="2" t="str">
        <x:v>Gross charger limit at battery, mA</x:v>
      </x:c>
      <x:c r="C38" s="15" t="n">
        <x:v>350</x:v>
      </x:c>
      <x:c r="D38" s="15" t="n">
        <x:v>350</x:v>
      </x:c>
      <x:c r="E38" s="15" t="n">
        <x:v>350</x:v>
      </x:c>
      <x:c r="F38" s="15"/>
      <x:c r="G38" s="15"/>
      <x:c r="H38" s="15" t="n">
        <x:v>500</x:v>
      </x:c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4" t="str">
        <x:v>For two panels enter their combined watts, then the verified common charger limit.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4" t="str">
        <x:v>Do not sum two charger ratings without a compatible verified circuit. Blank limit means not modeled.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10" t="str">
        <x:v>Calculation detail</x:v>
      </x:c>
      <x:c r="C43" s="10"/>
      <x:c r="D43" s="10"/>
      <x:c r="E43" s="10"/>
      <x:c r="F43" s="10"/>
      <x:c r="G43" s="10"/>
      <x:c r="H43" s="10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 t="str">
        <x:v>Battery/load inputs</x:v>
      </x:c>
      <x:c r="C45" s="2" t="str">
        <x:f>IF(AND(COUNT(C24:C31)=8,MIN(C24:C28)&gt;0,C28&lt;=1,C29&gt;=C30,C29&lt;=1,C30&gt;=0,C31&gt;=0),"Ready","Inputs needed")</x:f>
        <x:v>Ready</x:v>
      </x:c>
      <x:c r="D45" s="2" t="str">
        <x:f>IF(AND(COUNT(D24:D31)=8,MIN(D24:D28)&gt;0,D28&lt;=1,D29&gt;=D30,D29&lt;=1,D30&gt;=0,D31&gt;=0),"Ready","Inputs needed")</x:f>
        <x:v>Ready</x:v>
      </x:c>
      <x:c r="E45" s="2" t="str">
        <x:f>IF(AND(COUNT(E24:E31)=8,MIN(E24:E28)&gt;0,E28&lt;=1,E29&gt;=E30,E29&lt;=1,E30&gt;=0,E31&gt;=0),"Ready","Inputs needed")</x:f>
        <x:v>Ready</x:v>
      </x:c>
      <x:c r="F45" s="2" t="str">
        <x:f>IF(AND(COUNT(F24:F31)=8,MIN(F24:F28)&gt;0,F28&lt;=1,F29&gt;=F30,F29&lt;=1,F30&gt;=0,F31&gt;=0),"Ready","Inputs needed")</x:f>
        <x:v>Ready</x:v>
      </x:c>
      <x:c r="G45" s="2" t="str">
        <x:f>IF(AND(COUNT(G24:G31)=8,MIN(G24:G28)&gt;0,G28&lt;=1,G29&gt;=G30,G29&lt;=1,G30&gt;=0,G31&gt;=0),"Ready","Inputs needed")</x:f>
        <x:v>Ready</x:v>
      </x:c>
      <x:c r="H45" s="2" t="str">
        <x:f>IF(AND(COUNT(H24:H31)=8,MIN(H24:H28)&gt;0,H28&lt;=1,H29&gt;=H30,H29&lt;=1,H30&gt;=0,H31&gt;=0),"Ready","Inputs needed")</x:f>
        <x:v>Ready</x:v>
      </x:c>
      <x:c r="I45" s="2"/>
      <x:c r="J45" s="2"/>
      <x:c r="K45" s="2"/>
      <x:c r="L45" s="2"/>
    </x:row>
    <x:row r="46" ht="22" customHeight="1">
      <x:c r="A46" s="2"/>
      <x:c r="B46" s="2" t="str">
        <x:v>Nominal pack voltage, V</x:v>
      </x:c>
      <x:c r="C46" s="16" t="n">
        <x:f>IF(C45="Ready",C24*C27,"Inputs needed")</x:f>
        <x:v>3.6</x:v>
      </x:c>
      <x:c r="D46" s="16" t="n">
        <x:f>IF(D45="Ready",D24*D27,"Inputs needed")</x:f>
        <x:v>3.6</x:v>
      </x:c>
      <x:c r="E46" s="16" t="n">
        <x:f>IF(E45="Ready",E24*E27,"Inputs needed")</x:f>
        <x:v>3.6</x:v>
      </x:c>
      <x:c r="F46" s="16" t="n">
        <x:f>IF(F45="Ready",F24*F27,"Inputs needed")</x:f>
        <x:v>3.6</x:v>
      </x:c>
      <x:c r="G46" s="16" t="n">
        <x:f>IF(G45="Ready",G24*G27,"Inputs needed")</x:f>
        <x:v>3.6</x:v>
      </x:c>
      <x:c r="H46" s="16" t="n">
        <x:f>IF(H45="Ready",H24*H27,"Inputs needed")</x:f>
        <x:v>3.7</x:v>
      </x:c>
      <x:c r="I46" s="2"/>
      <x:c r="J46" s="2"/>
      <x:c r="K46" s="2"/>
      <x:c r="L46" s="2"/>
    </x:row>
    <x:row r="47" ht="22" customHeight="1">
      <x:c r="A47" s="2"/>
      <x:c r="B47" s="2" t="str">
        <x:v>Nominal pack capacity, Ah</x:v>
      </x:c>
      <x:c r="C47" s="16" t="n">
        <x:f>IF(C45="Ready",C25*C26/1000,"Inputs needed")</x:f>
        <x:v>10.2</x:v>
      </x:c>
      <x:c r="D47" s="16" t="n">
        <x:f>IF(D45="Ready",D25*D26/1000,"Inputs needed")</x:f>
        <x:v>10.2</x:v>
      </x:c>
      <x:c r="E47" s="16" t="n">
        <x:f>IF(E45="Ready",E25*E26/1000,"Inputs needed")</x:f>
        <x:v>10.2</x:v>
      </x:c>
      <x:c r="F47" s="16" t="n">
        <x:f>IF(F45="Ready",F25*F26/1000,"Inputs needed")</x:f>
        <x:v>20.4</x:v>
      </x:c>
      <x:c r="G47" s="16" t="n">
        <x:f>IF(G45="Ready",G25*G26/1000,"Inputs needed")</x:f>
        <x:v>10.2</x:v>
      </x:c>
      <x:c r="H47" s="16" t="n">
        <x:f>IF(H45="Ready",H25*H26/1000,"Inputs needed")</x:f>
        <x:v>3</x:v>
      </x:c>
      <x:c r="I47" s="2"/>
      <x:c r="J47" s="2"/>
      <x:c r="K47" s="2"/>
      <x:c r="L47" s="2"/>
    </x:row>
    <x:row r="48" ht="22" customHeight="1">
      <x:c r="A48" s="2"/>
      <x:c r="B48" s="2" t="str">
        <x:v>Nominal pack energy, Wh</x:v>
      </x:c>
      <x:c r="C48" s="16" t="n">
        <x:f>IF(C45="Ready",C46*C47,"Inputs needed")</x:f>
        <x:v>36.72</x:v>
      </x:c>
      <x:c r="D48" s="16" t="n">
        <x:f>IF(D45="Ready",D46*D47,"Inputs needed")</x:f>
        <x:v>36.72</x:v>
      </x:c>
      <x:c r="E48" s="16" t="n">
        <x:f>IF(E45="Ready",E46*E47,"Inputs needed")</x:f>
        <x:v>36.72</x:v>
      </x:c>
      <x:c r="F48" s="16" t="n">
        <x:f>IF(F45="Ready",F46*F47,"Inputs needed")</x:f>
        <x:v>73.44</x:v>
      </x:c>
      <x:c r="G48" s="16" t="n">
        <x:f>IF(G45="Ready",G46*G47,"Inputs needed")</x:f>
        <x:v>36.72</x:v>
      </x:c>
      <x:c r="H48" s="16" t="n">
        <x:f>IF(H45="Ready",H46*H47,"Inputs needed")</x:f>
        <x:v>11.100000000000001</x:v>
      </x:c>
      <x:c r="I48" s="2"/>
      <x:c r="J48" s="2"/>
      <x:c r="K48" s="2"/>
      <x:c r="L48" s="2"/>
    </x:row>
    <x:row r="49" ht="22" customHeight="1">
      <x:c r="A49" s="2"/>
      <x:c r="B49" s="2" t="str">
        <x:v>Available battery to reserve, Wh</x:v>
      </x:c>
      <x:c r="C49" s="16" t="n">
        <x:f>IF(C45="Ready",C48*C28*(C29-C30),"Inputs needed")</x:f>
        <x:v>29.376</x:v>
      </x:c>
      <x:c r="D49" s="16" t="n">
        <x:f>IF(D45="Ready",D48*D28*(D29-D30),"Inputs needed")</x:f>
        <x:v>29.376</x:v>
      </x:c>
      <x:c r="E49" s="16" t="n">
        <x:f>IF(E45="Ready",E48*E28*(E29-E30),"Inputs needed")</x:f>
        <x:v>29.376</x:v>
      </x:c>
      <x:c r="F49" s="16" t="n">
        <x:f>IF(F45="Ready",F48*F28*(F29-F30),"Inputs needed")</x:f>
        <x:v>58.752</x:v>
      </x:c>
      <x:c r="G49" s="16" t="n">
        <x:f>IF(G45="Ready",G48*G28*(G29-G30),"Inputs needed")</x:f>
        <x:v>29.376</x:v>
      </x:c>
      <x:c r="H49" s="16" t="n">
        <x:f>IF(H45="Ready",H48*H28*(H29-H30),"Inputs needed")</x:f>
        <x:v>8.88</x:v>
      </x:c>
      <x:c r="I49" s="2"/>
      <x:c r="J49" s="2"/>
      <x:c r="K49" s="2"/>
      <x:c r="L49" s="2"/>
    </x:row>
    <x:row r="50" ht="22" customHeight="1">
      <x:c r="A50" s="2"/>
      <x:c r="B50" s="2" t="str">
        <x:v>Battery load, W</x:v>
      </x:c>
      <x:c r="C50" s="16" t="n">
        <x:f>IF(C45="Ready",C46*C31/1000,"Inputs needed")</x:f>
        <x:v>0.072</x:v>
      </x:c>
      <x:c r="D50" s="16" t="n">
        <x:f>IF(D45="Ready",D46*D31/1000,"Inputs needed")</x:f>
        <x:v>0.072</x:v>
      </x:c>
      <x:c r="E50" s="16" t="n">
        <x:f>IF(E45="Ready",E46*E31/1000,"Inputs needed")</x:f>
        <x:v>0.072</x:v>
      </x:c>
      <x:c r="F50" s="16" t="n">
        <x:f>IF(F45="Ready",F46*F31/1000,"Inputs needed")</x:f>
        <x:v>0.558</x:v>
      </x:c>
      <x:c r="G50" s="16" t="n">
        <x:f>IF(G45="Ready",G46*G31/1000,"Inputs needed")</x:f>
        <x:v>0.558</x:v>
      </x:c>
      <x:c r="H50" s="16" t="n">
        <x:f>IF(H45="Ready",H46*H31/1000,"Inputs needed")</x:f>
        <x:v>0.37</x:v>
      </x:c>
      <x:c r="I50" s="2"/>
      <x:c r="J50" s="2"/>
      <x:c r="K50" s="2"/>
      <x:c r="L50" s="2"/>
    </x:row>
    <x:row r="51" ht="22" customHeight="1">
      <x:c r="A51" s="2"/>
      <x:c r="B51" s="2" t="str">
        <x:v>Battery-only runtime, hours</x:v>
      </x:c>
      <x:c r="C51" s="16" t="n">
        <x:f>IF(C45="Ready",IF(C50=0,"No load",C49/C50),"Inputs needed")</x:f>
        <x:v>408.00000000000006</x:v>
      </x:c>
      <x:c r="D51" s="16" t="n">
        <x:f>IF(D45="Ready",IF(D50=0,"No load",D49/D50),"Inputs needed")</x:f>
        <x:v>408.00000000000006</x:v>
      </x:c>
      <x:c r="E51" s="16" t="n">
        <x:f>IF(E45="Ready",IF(E50=0,"No load",E49/E50),"Inputs needed")</x:f>
        <x:v>408.00000000000006</x:v>
      </x:c>
      <x:c r="F51" s="16" t="n">
        <x:f>IF(F45="Ready",IF(F50=0,"No load",F49/F50),"Inputs needed")</x:f>
        <x:v>105.29032258064515</x:v>
      </x:c>
      <x:c r="G51" s="16" t="n">
        <x:f>IF(G45="Ready",IF(G50=0,"No load",G49/G50),"Inputs needed")</x:f>
        <x:v>52.64516129032258</x:v>
      </x:c>
      <x:c r="H51" s="16" t="n">
        <x:f>IF(H45="Ready",IF(H50=0,"No load",H49/H50),"Inputs needed")</x:f>
        <x:v>24.000000000000004</x:v>
      </x:c>
      <x:c r="I51" s="2"/>
      <x:c r="J51" s="2"/>
      <x:c r="K51" s="2"/>
      <x:c r="L51" s="2"/>
    </x:row>
    <x:row r="52" ht="22" customHeight="1">
      <x:c r="A52" s="2"/>
      <x:c r="B52" s="2" t="str">
        <x:v>Gross sunny supply before limit, W</x:v>
      </x:c>
      <x:c r="C52" s="16" t="str">
        <x:f>IF(C45="Ready",IF(C32="Net battery","n.a.",IF(C32="Gross at battery",IF(ISNUMBER(C34),C34*C46/1000,"Current needed"),IF(C32="Panel watts",IF(COUNT(C35:C37)=3,C35*C36*C37,"Panel input needed"),"Mode needed"))),"Inputs needed")</x:f>
        <x:v>n.a.</x:v>
      </x:c>
      <x:c r="D52" s="16" t="str">
        <x:f>IF(D45="Ready",IF(D32="Net battery","n.a.",IF(D32="Gross at battery",IF(ISNUMBER(D34),D34*D46/1000,"Current needed"),IF(D32="Panel watts",IF(COUNT(D35:D37)=3,D35*D36*D37,"Panel input needed"),"Mode needed"))),"Inputs needed")</x:f>
        <x:v>n.a.</x:v>
      </x:c>
      <x:c r="E52" s="16" t="str">
        <x:f>IF(E45="Ready",IF(E32="Net battery","n.a.",IF(E32="Gross at battery",IF(ISNUMBER(E34),E34*E46/1000,"Current needed"),IF(E32="Panel watts",IF(COUNT(E35:E37)=3,E35*E36*E37,"Panel input needed"),"Mode needed"))),"Inputs needed")</x:f>
        <x:v>n.a.</x:v>
      </x:c>
      <x:c r="F52" s="16" t="str">
        <x:f>IF(F45="Ready",IF(F32="Net battery","n.a.",IF(F32="Gross at battery",IF(ISNUMBER(F34),F34*F46/1000,"Current needed"),IF(F32="Panel watts",IF(COUNT(F35:F37)=3,F35*F36*F37,"Panel input needed"),"Mode needed"))),"Inputs needed")</x:f>
        <x:v>n.a.</x:v>
      </x:c>
      <x:c r="G52" s="16" t="str">
        <x:f>IF(G45="Ready",IF(G32="Net battery","n.a.",IF(G32="Gross at battery",IF(ISNUMBER(G34),G34*G46/1000,"Current needed"),IF(G32="Panel watts",IF(COUNT(G35:G37)=3,G35*G36*G37,"Panel input needed"),"Mode needed"))),"Inputs needed")</x:f>
        <x:v>n.a.</x:v>
      </x:c>
      <x:c r="H52" s="16" t="n">
        <x:f>IF(H45="Ready",IF(H32="Net battery","n.a.",IF(H32="Gross at battery",IF(ISNUMBER(H34),H34*H46/1000,"Current needed"),IF(H32="Panel watts",IF(COUNT(H35:H37)=3,H35*H36*H37,"Panel input needed"),"Mode needed"))),"Inputs needed")</x:f>
        <x:v>3.8249999999999997</x:v>
      </x:c>
      <x:c r="I52" s="2"/>
      <x:c r="J52" s="2"/>
      <x:c r="K52" s="2"/>
      <x:c r="L52" s="2"/>
    </x:row>
    <x:row r="53" ht="22" customHeight="1">
      <x:c r="A53" s="2"/>
      <x:c r="B53" s="2" t="str">
        <x:v>Gross sunny supply after limit, W</x:v>
      </x:c>
      <x:c r="C53" s="16" t="str">
        <x:f>IF(C45="Ready",IF(ISNUMBER(C52),IF(ISNUMBER(C38),MIN(C52,C38*C46/1000),C52),C52),"Inputs needed")</x:f>
        <x:v>n.a.</x:v>
      </x:c>
      <x:c r="D53" s="16" t="str">
        <x:f>IF(D45="Ready",IF(ISNUMBER(D52),IF(ISNUMBER(D38),MIN(D52,D38*D46/1000),D52),D52),"Inputs needed")</x:f>
        <x:v>n.a.</x:v>
      </x:c>
      <x:c r="E53" s="16" t="str">
        <x:f>IF(E45="Ready",IF(ISNUMBER(E52),IF(ISNUMBER(E38),MIN(E52,E38*E46/1000),E52),E52),"Inputs needed")</x:f>
        <x:v>n.a.</x:v>
      </x:c>
      <x:c r="F53" s="16" t="str">
        <x:f>IF(F45="Ready",IF(ISNUMBER(F52),IF(ISNUMBER(F38),MIN(F52,F38*F46/1000),F52),F52),"Inputs needed")</x:f>
        <x:v>n.a.</x:v>
      </x:c>
      <x:c r="G53" s="16" t="str">
        <x:f>IF(G45="Ready",IF(ISNUMBER(G52),IF(ISNUMBER(G38),MIN(G52,G38*G46/1000),G52),G52),"Inputs needed")</x:f>
        <x:v>n.a.</x:v>
      </x:c>
      <x:c r="H53" s="16" t="n">
        <x:f>IF(H45="Ready",IF(ISNUMBER(H52),IF(ISNUMBER(H38),MIN(H52,H38*H46/1000),H52),H52),"Inputs needed")</x:f>
        <x:v>1.85</x:v>
      </x:c>
      <x:c r="I53" s="2"/>
      <x:c r="J53" s="2"/>
      <x:c r="K53" s="2"/>
      <x:c r="L53" s="2"/>
    </x:row>
    <x:row r="54" ht="22" customHeight="1">
      <x:c r="A54" s="2"/>
      <x:c r="B54" s="2" t="str">
        <x:v>Net sunny battery power, W</x:v>
      </x:c>
      <x:c r="C54" s="17" t="n">
        <x:f>IF(C45="Ready",IF(C32="Net battery",IF(ISNUMBER(C33),C33*C46/1000,"Current needed"),IF(ISNUMBER(C53),C53-C50,C53)),"Inputs needed")</x:f>
        <x:v>0.00216</x:v>
      </x:c>
      <x:c r="D54" s="17" t="n">
        <x:f>IF(D45="Ready",IF(D32="Net battery",IF(ISNUMBER(D33),D33*D46/1000,"Current needed"),IF(ISNUMBER(D53),D53-D50,D53)),"Inputs needed")</x:f>
        <x:v>0.38556</x:v>
      </x:c>
      <x:c r="E54" s="17" t="n">
        <x:f>IF(E45="Ready",IF(E32="Net battery",IF(ISNUMBER(E33),E33*E46/1000,"Current needed"),IF(ISNUMBER(E53),E53-E50,E53)),"Inputs needed")</x:f>
        <x:v>0.72</x:v>
      </x:c>
      <x:c r="F54" s="17" t="n">
        <x:f>IF(F45="Ready",IF(F32="Net battery",IF(ISNUMBER(F33),F33*F46/1000,"Current needed"),IF(ISNUMBER(F53),F53-F50,F53)),"Inputs needed")</x:f>
        <x:v>1.8</x:v>
      </x:c>
      <x:c r="G54" s="17" t="n">
        <x:f>IF(G45="Ready",IF(G32="Net battery",IF(ISNUMBER(G33),G33*G46/1000,"Current needed"),IF(ISNUMBER(G53),G53-G50,G53)),"Inputs needed")</x:f>
        <x:v>1.96488</x:v>
      </x:c>
      <x:c r="H54" s="17" t="n">
        <x:f>IF(H45="Ready",IF(H32="Net battery",IF(ISNUMBER(H33),H33*H46/1000,"Current needed"),IF(ISNUMBER(H53),H53-H50,H53)),"Inputs needed")</x:f>
        <x:v>1.48</x:v>
      </x:c>
      <x:c r="I54" s="2"/>
      <x:c r="J54" s="2"/>
      <x:c r="K54" s="2"/>
      <x:c r="L54" s="2"/>
    </x:row>
    <x:row r="55" ht="22" customHeight="1">
      <x:c r="A55" s="2"/>
      <x:c r="B55" s="2" t="str">
        <x:v>Stored sunny power after retention, W</x:v>
      </x:c>
      <x:c r="C55" s="17" t="n">
        <x:f>IF(C45="Ready",IF(AND(ISNUMBER($F$16),$F$16&gt;0,$F$16&lt;=1),IF(ISNUMBER(C54),IF(C54&gt;=0,C54*$F$16,C54),C54),"Retention needed"),"Inputs needed")</x:f>
        <x:v>0.001944</x:v>
      </x:c>
      <x:c r="D55" s="17" t="n">
        <x:f>IF(D45="Ready",IF(AND(ISNUMBER($F$16),$F$16&gt;0,$F$16&lt;=1),IF(ISNUMBER(D54),IF(D54&gt;=0,D54*$F$16,D54),D54),"Retention needed"),"Inputs needed")</x:f>
        <x:v>0.34700400000000003</x:v>
      </x:c>
      <x:c r="E55" s="17" t="n">
        <x:f>IF(E45="Ready",IF(AND(ISNUMBER($F$16),$F$16&gt;0,$F$16&lt;=1),IF(ISNUMBER(E54),IF(E54&gt;=0,E54*$F$16,E54),E54),"Retention needed"),"Inputs needed")</x:f>
        <x:v>0.648</x:v>
      </x:c>
      <x:c r="F55" s="17" t="n">
        <x:f>IF(F45="Ready",IF(AND(ISNUMBER($F$16),$F$16&gt;0,$F$16&lt;=1),IF(ISNUMBER(F54),IF(F54&gt;=0,F54*$F$16,F54),F54),"Retention needed"),"Inputs needed")</x:f>
        <x:v>1.62</x:v>
      </x:c>
      <x:c r="G55" s="17" t="n">
        <x:f>IF(G45="Ready",IF(AND(ISNUMBER($F$16),$F$16&gt;0,$F$16&lt;=1),IF(ISNUMBER(G54),IF(G54&gt;=0,G54*$F$16,G54),G54),"Retention needed"),"Inputs needed")</x:f>
        <x:v>1.768392</x:v>
      </x:c>
      <x:c r="H55" s="17" t="n">
        <x:f>IF(H45="Ready",IF(AND(ISNUMBER($F$16),$F$16&gt;0,$F$16&lt;=1),IF(ISNUMBER(H54),IF(H54&gt;=0,H54*$F$16,H54),H54),"Retention needed"),"Inputs needed")</x:f>
        <x:v>1.332</x:v>
      </x:c>
      <x:c r="I55" s="2"/>
      <x:c r="J55" s="2"/>
      <x:c r="K55" s="2"/>
      <x:c r="L55" s="2"/>
    </x:row>
    <x:row r="56" ht="22" customHeight="1">
      <x:c r="A56" s="2"/>
      <x:c r="B56" s="2" t="str">
        <x:v>Daily stored-energy change, Wh</x:v>
      </x:c>
      <x:c r="C56" s="16" t="n">
        <x:f>IF(C45="Ready",IF(AND(ISNUMBER($C$16),$C$16&gt;=0,$C$16&lt;=24),IF(ISNUMBER(C55),C55*$C$16-C50*(24-$C$16),C55),"Sun hours needed"),"Inputs needed")</x:f>
        <x:v>-1.432224</x:v>
      </x:c>
      <x:c r="D56" s="16" t="n">
        <x:f>IF(D45="Ready",IF(AND(ISNUMBER($C$16),$C$16&gt;=0,$C$16&lt;=24),IF(ISNUMBER(D55),D55*$C$16-D50*(24-$C$16),D55),"Sun hours needed"),"Inputs needed")</x:f>
        <x:v>-0.05198399999999981</x:v>
      </x:c>
      <x:c r="E56" s="16" t="n">
        <x:f>IF(E45="Ready",IF(AND(ISNUMBER($C$16),$C$16&gt;=0,$C$16&lt;=24),IF(ISNUMBER(E55),E55*$C$16-E50*(24-$C$16),E55),"Sun hours needed"),"Inputs needed")</x:f>
        <x:v>1.1520000000000001</x:v>
      </x:c>
      <x:c r="F56" s="16" t="n">
        <x:f>IF(F45="Ready",IF(AND(ISNUMBER($C$16),$C$16&gt;=0,$C$16&lt;=24),IF(ISNUMBER(F55),F55*$C$16-F50*(24-$C$16),F55),"Sun hours needed"),"Inputs needed")</x:f>
        <x:v>-4.68</x:v>
      </x:c>
      <x:c r="G56" s="16" t="n">
        <x:f>IF(G45="Ready",IF(AND(ISNUMBER($C$16),$C$16&gt;=0,$C$16&lt;=24),IF(ISNUMBER(G55),G55*$C$16-G50*(24-$C$16),G55),"Sun hours needed"),"Inputs needed")</x:f>
        <x:v>-4.086432</x:v>
      </x:c>
      <x:c r="H56" s="16" t="n">
        <x:f>IF(H45="Ready",IF(AND(ISNUMBER($C$16),$C$16&gt;=0,$C$16&lt;=24),IF(ISNUMBER(H55),H55*$C$16-H50*(24-$C$16),H55),"Sun hours needed"),"Inputs needed")</x:f>
        <x:v>-2.072</x:v>
      </x:c>
      <x:c r="I56" s="2"/>
      <x:c r="J56" s="2"/>
      <x:c r="K56" s="2"/>
      <x:c r="L56" s="2"/>
    </x:row>
    <x:row r="57" ht="22" customHeight="1">
      <x:c r="A57" s="2"/>
      <x:c r="B57" s="2" t="str">
        <x:v>Minimum useful sun, h/day</x:v>
      </x:c>
      <x:c r="C57" s="16" t="n">
        <x:f>IF(C45="Ready",IF(ISNUMBER(C55),IF(C50=0,0,IF(C55&lt;0,"Cannot balance",24*C50/(C50+C55))),C55),"Inputs needed")</x:f>
        <x:v>23.369036027263874</x:v>
      </x:c>
      <x:c r="D57" s="16" t="n">
        <x:f>IF(D45="Ready",IF(ISNUMBER(D55),IF(D50=0,0,IF(D55&lt;0,"Cannot balance",24*D50/(D50+D55))),D55),"Inputs needed")</x:f>
        <x:v>4.124065641378125</x:v>
      </x:c>
      <x:c r="E57" s="16" t="n">
        <x:f>IF(E45="Ready",IF(ISNUMBER(E55),IF(E50=0,0,IF(E55&lt;0,"Cannot balance",24*E50/(E50+E55))),E55),"Inputs needed")</x:f>
        <x:v>2.4</x:v>
      </x:c>
      <x:c r="F57" s="16" t="n">
        <x:f>IF(F45="Ready",IF(ISNUMBER(F55),IF(F50=0,0,IF(F55&lt;0,"Cannot balance",24*F50/(F50+F55))),F55),"Inputs needed")</x:f>
        <x:v>6.148760330578513</x:v>
      </x:c>
      <x:c r="G57" s="16" t="n">
        <x:f>IF(G45="Ready",IF(ISNUMBER(G55),IF(G50=0,0,IF(G55&lt;0,"Cannot balance",24*G50/(G50+G55))),G55),"Inputs needed")</x:f>
        <x:v>5.7565534957135345</x:v>
      </x:c>
      <x:c r="H57" s="16" t="n">
        <x:f>IF(H45="Ready",IF(ISNUMBER(H55),IF(H50=0,0,IF(H55&lt;0,"Cannot balance",24*H50/(H50+H55))),H55),"Inputs needed")</x:f>
        <x:v>5.217391304347825</x:v>
      </x:c>
      <x:c r="I57" s="2"/>
      <x:c r="J57" s="2"/>
      <x:c r="K57" s="2"/>
      <x:c r="L57" s="2"/>
    </x:row>
    <x:row r="58" ht="22" customHeight="1">
      <x:c r="A58" s="2"/>
      <x:c r="B58" s="2" t="str">
        <x:v>Minimum net charge at chosen sun, mA</x:v>
      </x:c>
      <x:c r="C58" s="16" t="n">
        <x:f>IF(C45="Ready",IF(AND(ISNUMBER($C$16),ISNUMBER($F$16),$C$16&gt;=0,$C$16&lt;=24,$F$16&gt;0,$F$16&lt;=1),IF($C$16=0,"No sun",C31*(24-$C$16)/($C$16*$F$16)),"Sun/retention needed"),"Inputs needed")</x:f>
        <x:v>111.11111111111111</x:v>
      </x:c>
      <x:c r="D58" s="16" t="n">
        <x:f>IF(D45="Ready",IF(AND(ISNUMBER($C$16),ISNUMBER($F$16),$C$16&gt;=0,$C$16&lt;=24,$F$16&gt;0,$F$16&lt;=1),IF($C$16=0,"No sun",D31*(24-$C$16)/($C$16*$F$16)),"Sun/retention needed"),"Inputs needed")</x:f>
        <x:v>111.11111111111111</x:v>
      </x:c>
      <x:c r="E58" s="16" t="n">
        <x:f>IF(E45="Ready",IF(AND(ISNUMBER($C$16),ISNUMBER($F$16),$C$16&gt;=0,$C$16&lt;=24,$F$16&gt;0,$F$16&lt;=1),IF($C$16=0,"No sun",E31*(24-$C$16)/($C$16*$F$16)),"Sun/retention needed"),"Inputs needed")</x:f>
        <x:v>111.11111111111111</x:v>
      </x:c>
      <x:c r="F58" s="16" t="n">
        <x:f>IF(F45="Ready",IF(AND(ISNUMBER($C$16),ISNUMBER($F$16),$C$16&gt;=0,$C$16&lt;=24,$F$16&gt;0,$F$16&lt;=1),IF($C$16=0,"No sun",F31*(24-$C$16)/($C$16*$F$16)),"Sun/retention needed"),"Inputs needed")</x:f>
        <x:v>861.1111111111111</x:v>
      </x:c>
      <x:c r="G58" s="16" t="n">
        <x:f>IF(G45="Ready",IF(AND(ISNUMBER($C$16),ISNUMBER($F$16),$C$16&gt;=0,$C$16&lt;=24,$F$16&gt;0,$F$16&lt;=1),IF($C$16=0,"No sun",G31*(24-$C$16)/($C$16*$F$16)),"Sun/retention needed"),"Inputs needed")</x:f>
        <x:v>861.1111111111111</x:v>
      </x:c>
      <x:c r="H58" s="16" t="n">
        <x:f>IF(H45="Ready",IF(AND(ISNUMBER($C$16),ISNUMBER($F$16),$C$16&gt;=0,$C$16&lt;=24,$F$16&gt;0,$F$16&lt;=1),IF($C$16=0,"No sun",H31*(24-$C$16)/($C$16*$F$16)),"Sun/retention needed"),"Inputs needed")</x:f>
        <x:v>555.5555555555555</x:v>
      </x:c>
      <x:c r="I58" s="2"/>
      <x:c r="J58" s="2"/>
      <x:c r="K58" s="2"/>
      <x:c r="L58" s="2"/>
    </x:row>
    <x:row r="59" ht="22" customHeight="1">
      <x:c r="A59" s="2"/>
      <x:c r="B59" s="2" t="str">
        <x:v>Rated battery for no-sun target, Wh</x:v>
      </x:c>
      <x:c r="C59" s="16" t="n">
        <x:f>IF(C45="Ready",IF(ISNUMBER($I$16),IF(C29=C30,"No usable SOC",C50*24*$I$16/(C28*(C29-C30))),"Target days needed"),"Inputs needed")</x:f>
        <x:v>6.479999999999999</x:v>
      </x:c>
      <x:c r="D59" s="16" t="n">
        <x:f>IF(D45="Ready",IF(ISNUMBER($I$16),IF(D29=D30,"No usable SOC",D50*24*$I$16/(D28*(D29-D30))),"Target days needed"),"Inputs needed")</x:f>
        <x:v>6.479999999999999</x:v>
      </x:c>
      <x:c r="E59" s="16" t="n">
        <x:f>IF(E45="Ready",IF(ISNUMBER($I$16),IF(E29=E30,"No usable SOC",E50*24*$I$16/(E28*(E29-E30))),"Target days needed"),"Inputs needed")</x:f>
        <x:v>6.479999999999999</x:v>
      </x:c>
      <x:c r="F59" s="16" t="n">
        <x:f>IF(F45="Ready",IF(ISNUMBER($I$16),IF(F29=F30,"No usable SOC",F50*24*$I$16/(F28*(F29-F30))),"Target days needed"),"Inputs needed")</x:f>
        <x:v>50.22</x:v>
      </x:c>
      <x:c r="G59" s="16" t="n">
        <x:f>IF(G45="Ready",IF(ISNUMBER($I$16),IF(G29=G30,"No usable SOC",G50*24*$I$16/(G28*(G29-G30))),"Target days needed"),"Inputs needed")</x:f>
        <x:v>50.22</x:v>
      </x:c>
      <x:c r="H59" s="16" t="n">
        <x:f>IF(H45="Ready",IF(ISNUMBER($I$16),IF(H29=H30,"No usable SOC",H50*24*$I$16/(H28*(H29-H30))),"Target days needed"),"Inputs needed")</x:f>
        <x:v>33.3</x:v>
      </x:c>
      <x:c r="I59" s="2"/>
      <x:c r="J59" s="2"/>
      <x:c r="K59" s="2"/>
      <x:c r="L59" s="2"/>
    </x:row>
    <x:row r="60" ht="22" customHeight="1">
      <x:c r="A60" s="2"/>
      <x:c r="B60" s="2" t="str">
        <x:v>Required parallel cells for target</x:v>
      </x:c>
      <x:c r="C60" s="18" t="n">
        <x:f>IF(C45="Ready",IF(ISNUMBER(C59),ROUNDUP(C59/(C24*C27*C26/1000),0),C59),"Inputs needed")</x:f>
        <x:v>1</x:v>
      </x:c>
      <x:c r="D60" s="18" t="n">
        <x:f>IF(D45="Ready",IF(ISNUMBER(D59),ROUNDUP(D59/(D24*D27*D26/1000),0),D59),"Inputs needed")</x:f>
        <x:v>1</x:v>
      </x:c>
      <x:c r="E60" s="18" t="n">
        <x:f>IF(E45="Ready",IF(ISNUMBER(E59),ROUNDUP(E59/(E24*E27*E26/1000),0),E59),"Inputs needed")</x:f>
        <x:v>1</x:v>
      </x:c>
      <x:c r="F60" s="18" t="n">
        <x:f>IF(F45="Ready",IF(ISNUMBER(F59),ROUNDUP(F59/(F24*F27*F26/1000),0),F59),"Inputs needed")</x:f>
        <x:v>6</x:v>
      </x:c>
      <x:c r="G60" s="18" t="n">
        <x:f>IF(G45="Ready",IF(ISNUMBER(G59),ROUNDUP(G59/(G24*G27*G26/1000),0),G59),"Inputs needed")</x:f>
        <x:v>6</x:v>
      </x:c>
      <x:c r="H60" s="18" t="n">
        <x:f>IF(H45="Ready",IF(ISNUMBER(H59),ROUNDUP(H59/(H24*H27*H26/1000),0),H59),"Inputs needed")</x:f>
        <x:v>3</x:v>
      </x:c>
      <x:c r="I60" s="2"/>
      <x:c r="J60" s="2"/>
      <x:c r="K60" s="2"/>
      <x:c r="L60" s="2"/>
    </x:row>
    <x:row r="61" ht="22" customHeight="1">
      <x:c r="A61" s="2"/>
      <x:c r="B61" s="2" t="str">
        <x:v>Minimum panel nameplate, W</x:v>
      </x:c>
      <x:c r="C61" s="16" t="n">
        <x:f>IF(C45="Ready",IF(ISNUMBER(C58),(C50+C58*C46/1000)/(C36*C37),C58),"Inputs needed")</x:f>
        <x:v>0.7403921568627452</x:v>
      </x:c>
      <x:c r="D61" s="16" t="n">
        <x:f>IF(D45="Ready",IF(ISNUMBER(D58),(D50+D58*D46/1000)/(D36*D37),D58),"Inputs needed")</x:f>
        <x:v>0.7403921568627452</x:v>
      </x:c>
      <x:c r="E61" s="16" t="n">
        <x:f>IF(E45="Ready",IF(ISNUMBER(E58),(E50+E58*E46/1000)/(E36*E37),E58),"Inputs needed")</x:f>
        <x:v>0.7403921568627452</x:v>
      </x:c>
      <x:c r="F61" s="16" t="n">
        <x:f>IF(F45="Ready",IF(ISNUMBER(F58),(F50+F58*F46/1000)/(F36*F37),F58),"Inputs needed")</x:f>
        <x:v>5.738039215686276</x:v>
      </x:c>
      <x:c r="G61" s="16" t="n">
        <x:f>IF(G45="Ready",IF(ISNUMBER(G58),(G50+G58*G46/1000)/(G36*G37),G58),"Inputs needed")</x:f>
        <x:v>5.738039215686276</x:v>
      </x:c>
      <x:c r="H61" s="16" t="n">
        <x:f>IF(H45="Ready",IF(ISNUMBER(H58),(H50+H58*H46/1000)/(H36*H37),H58),"Inputs needed")</x:f>
        <x:v>3.804793028322441</x:v>
      </x:c>
      <x:c r="I61" s="2"/>
      <x:c r="J61" s="2"/>
      <x:c r="K61" s="2"/>
      <x:c r="L61" s="2"/>
    </x:row>
    <x:row r="62" ht="22" customHeight="1">
      <x:c r="A62" s="2"/>
      <x:c r="B62" s="2" t="str">
        <x:v>Days to recover target outage</x:v>
      </x:c>
      <x:c r="C62" s="16" t="str">
        <x:f>IF(C45="Ready",IF(ISNUMBER(C56),IF(C56&gt;0,C50*24*$I$16/C56,"No surplus"),C56),"Inputs needed")</x:f>
        <x:v>No surplus</x:v>
      </x:c>
      <x:c r="D62" s="16" t="str">
        <x:f>IF(D45="Ready",IF(ISNUMBER(D56),IF(D56&gt;0,D50*24*$I$16/D56,"No surplus"),D56),"Inputs needed")</x:f>
        <x:v>No surplus</x:v>
      </x:c>
      <x:c r="E62" s="16" t="n">
        <x:f>IF(E45="Ready",IF(ISNUMBER(E56),IF(E56&gt;0,E50*24*$I$16/E56,"No surplus"),E56),"Inputs needed")</x:f>
        <x:v>4.499999999999999</x:v>
      </x:c>
      <x:c r="F62" s="16" t="str">
        <x:f>IF(F45="Ready",IF(ISNUMBER(F56),IF(F56&gt;0,F50*24*$I$16/F56,"No surplus"),F56),"Inputs needed")</x:f>
        <x:v>No surplus</x:v>
      </x:c>
      <x:c r="G62" s="16" t="str">
        <x:f>IF(G45="Ready",IF(ISNUMBER(G56),IF(G56&gt;0,G50*24*$I$16/G56,"No surplus"),G56),"Inputs needed")</x:f>
        <x:v>No surplus</x:v>
      </x:c>
      <x:c r="H62" s="16" t="str">
        <x:f>IF(H45="Ready",IF(ISNUMBER(H56),IF(H56&gt;0,H50*24*$I$16/H56,"No surplus"),H56),"Inputs needed")</x:f>
        <x:v>No surplus</x:v>
      </x:c>
      <x:c r="I62" s="2"/>
      <x:c r="J62" s="2"/>
      <x:c r="K62" s="2"/>
      <x:c r="L62" s="2"/>
    </x:row>
    <x:row r="63" ht="22" customHeight="1">
      <x:c r="A63" s="2"/>
      <x:c r="B63" s="2" t="str">
        <x:v>Sunless interval covered?</x:v>
      </x:c>
      <x:c r="C63" s="2" t="str">
        <x:f>IF(C45="Ready",IF(C49&gt;=C50*(24-$C$16),"Yes","Battery too small"),"Inputs needed")</x:f>
        <x:v>Yes</x:v>
      </x:c>
      <x:c r="D63" s="2" t="str">
        <x:f>IF(D45="Ready",IF(D49&gt;=D50*(24-$C$16),"Yes","Battery too small"),"Inputs needed")</x:f>
        <x:v>Yes</x:v>
      </x:c>
      <x:c r="E63" s="2" t="str">
        <x:f>IF(E45="Ready",IF(E49&gt;=E50*(24-$C$16),"Yes","Battery too small"),"Inputs needed")</x:f>
        <x:v>Yes</x:v>
      </x:c>
      <x:c r="F63" s="2" t="str">
        <x:f>IF(F45="Ready",IF(F49&gt;=F50*(24-$C$16),"Yes","Battery too small"),"Inputs needed")</x:f>
        <x:v>Yes</x:v>
      </x:c>
      <x:c r="G63" s="2" t="str">
        <x:f>IF(G45="Ready",IF(G49&gt;=G50*(24-$C$16),"Yes","Battery too small"),"Inputs needed")</x:f>
        <x:v>Yes</x:v>
      </x:c>
      <x:c r="H63" s="2" t="str">
        <x:f>IF(H45="Ready",IF(H49&gt;=H50*(24-$C$16),"Yes","Battery too small"),"Inputs needed")</x:f>
        <x:v>Yes</x:v>
      </x:c>
      <x:c r="I63" s="2"/>
      <x:c r="J63" s="2"/>
      <x:c r="K63" s="2"/>
      <x:c r="L63" s="2"/>
    </x:row>
    <x:row r="64" ht="22" customHeight="1">
      <x:c r="A64" s="2"/>
      <x:c r="B64" s="2" t="str">
        <x:v>Daily solar result</x:v>
      </x:c>
      <x:c r="C64" s="2" t="str">
        <x:f>IF(C45="Ready",IF(ISNUMBER(C56),IF(C56&lt;0,"Deficit",IF(C63="Yes","Balanced scenario","Night capacity short")),C56),"Inputs needed")</x:f>
        <x:v>Deficit</x:v>
      </x:c>
      <x:c r="D64" s="2" t="str">
        <x:f>IF(D45="Ready",IF(ISNUMBER(D56),IF(D56&lt;0,"Deficit",IF(D63="Yes","Balanced scenario","Night capacity short")),D56),"Inputs needed")</x:f>
        <x:v>Deficit</x:v>
      </x:c>
      <x:c r="E64" s="2" t="str">
        <x:f>IF(E45="Ready",IF(ISNUMBER(E56),IF(E56&lt;0,"Deficit",IF(E63="Yes","Balanced scenario","Night capacity short")),E56),"Inputs needed")</x:f>
        <x:v>Balanced scenario</x:v>
      </x:c>
      <x:c r="F64" s="2" t="str">
        <x:f>IF(F45="Ready",IF(ISNUMBER(F56),IF(F56&lt;0,"Deficit",IF(F63="Yes","Balanced scenario","Night capacity short")),F56),"Inputs needed")</x:f>
        <x:v>Deficit</x:v>
      </x:c>
      <x:c r="G64" s="2" t="str">
        <x:f>IF(G45="Ready",IF(ISNUMBER(G56),IF(G56&lt;0,"Deficit",IF(G63="Yes","Balanced scenario","Night capacity short")),G56),"Inputs needed")</x:f>
        <x:v>Deficit</x:v>
      </x:c>
      <x:c r="H64" s="2" t="str">
        <x:f>IF(H45="Ready",IF(ISNUMBER(H56),IF(H56&lt;0,"Deficit",IF(H63="Yes","Balanced scenario","Night capacity short")),H56),"Inputs needed")</x:f>
        <x:v>Deficit</x:v>
      </x:c>
      <x:c r="I64" s="2"/>
      <x:c r="J64" s="2"/>
      <x:c r="K64" s="2"/>
      <x:c r="L64" s="2"/>
    </x:row>
    <x:row r="65" ht="22" customHeight="1">
      <x:c r="A65" s="2"/>
      <x:c r="B65" s="2" t="str">
        <x:v>Charger-limit status</x:v>
      </x:c>
      <x:c r="C65" s="2" t="str">
        <x:f>IF(C45="Ready",IF(C32="Net battery","Net input; no cap",IF(ISNUMBER(C38),"Limit modeled","Limit unverified")),"Inputs needed")</x:f>
        <x:v>Net input; no cap</x:v>
      </x:c>
      <x:c r="D65" s="2" t="str">
        <x:f>IF(D45="Ready",IF(D32="Net battery","Net input; no cap",IF(ISNUMBER(D38),"Limit modeled","Limit unverified")),"Inputs needed")</x:f>
        <x:v>Net input; no cap</x:v>
      </x:c>
      <x:c r="E65" s="2" t="str">
        <x:f>IF(E45="Ready",IF(E32="Net battery","Net input; no cap",IF(ISNUMBER(E38),"Limit modeled","Limit unverified")),"Inputs needed")</x:f>
        <x:v>Net input; no cap</x:v>
      </x:c>
      <x:c r="F65" s="2" t="str">
        <x:f>IF(F45="Ready",IF(F32="Net battery","Net input; no cap",IF(ISNUMBER(F38),"Limit modeled","Limit unverified")),"Inputs needed")</x:f>
        <x:v>Net input; no cap</x:v>
      </x:c>
      <x:c r="G65" s="2" t="str">
        <x:f>IF(G45="Ready",IF(G32="Net battery","Net input; no cap",IF(ISNUMBER(G38),"Limit modeled","Limit unverified")),"Inputs needed")</x:f>
        <x:v>Net input; no cap</x:v>
      </x:c>
      <x:c r="H65" s="2" t="str">
        <x:f>IF(H45="Ready",IF(H32="Net battery","Net input; no cap",IF(ISNUMBER(H38),"Limit modeled","Limit unverified")),"Inputs needed")</x:f>
        <x:v>Limit modeled</x:v>
      </x:c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conditionalFormatting sqref="C7:K12">
    <x:cfRule type="containsText" dxfId="0" priority="1" operator="containsText" text="needed"/>
    <x:cfRule type="containsText" dxfId="1" priority="2" operator="containsText" text="Deficit"/>
  </x:conditionalFormatting>
  <x:conditionalFormatting sqref="C45:H65">
    <x:cfRule type="containsText" dxfId="2" priority="3" operator="containsText" text="needed"/>
    <x:cfRule type="containsText" dxfId="3" priority="4" operator="containsText" text="Deficit"/>
  </x:conditionalFormatting>
  <x:dataValidations count="63">
    <x:dataValidation type="decimal" operator="between" sqref="C16">
      <x:formula1>0</x:formula1>
      <x:formula2>24</x:formula2>
    </x:dataValidation>
    <x:dataValidation type="decimal" operator="between" sqref="F16">
      <x:formula1>0.01</x:formula1>
      <x:formula2>1</x:formula2>
    </x:dataValidation>
    <x:dataValidation type="decimal" operator="between" sqref="I16">
      <x:formula1>0</x:formula1>
      <x:formula2>365</x:formula2>
    </x:dataValidation>
    <x:dataValidation type="whole" operator="between" sqref="C24:C25">
      <x:formula1>1</x:formula1>
      <x:formula2>100</x:formula2>
    </x:dataValidation>
    <x:dataValidation type="decimal" operator="between" sqref="C26">
      <x:formula1>1</x:formula1>
      <x:formula2>100000</x:formula2>
    </x:dataValidation>
    <x:dataValidation type="decimal" operator="between" sqref="C27">
      <x:formula1>0.1</x:formula1>
      <x:formula2>10</x:formula2>
    </x:dataValidation>
    <x:dataValidation type="decimal" operator="between" sqref="C28">
      <x:formula1>0.01</x:formula1>
      <x:formula2>1</x:formula2>
    </x:dataValidation>
    <x:dataValidation type="decimal" operator="between" sqref="C29:C30">
      <x:formula1>0</x:formula1>
      <x:formula2>1</x:formula2>
    </x:dataValidation>
    <x:dataValidation type="decimal" operator="between" sqref="C31">
      <x:formula1>0</x:formula1>
      <x:formula2>100000</x:formula2>
    </x:dataValidation>
    <x:dataValidation type="decimal" operator="between" sqref="C33:C35">
      <x:formula1>0</x:formula1>
      <x:formula2>100000</x:formula2>
    </x:dataValidation>
    <x:dataValidation type="decimal" operator="between" sqref="C36:C37">
      <x:formula1>0.01</x:formula1>
      <x:formula2>1</x:formula2>
    </x:dataValidation>
    <x:dataValidation type="decimal" operator="between" sqref="C38">
      <x:formula1>0</x:formula1>
      <x:formula2>100000</x:formula2>
    </x:dataValidation>
    <x:dataValidation type="list" sqref="C32">
      <x:formula1>"Net battery,Gross at battery,Panel watts"</x:formula1>
    </x:dataValidation>
    <x:dataValidation type="whole" operator="between" sqref="D24:D25">
      <x:formula1>1</x:formula1>
      <x:formula2>100</x:formula2>
    </x:dataValidation>
    <x:dataValidation type="decimal" operator="between" sqref="D26">
      <x:formula1>1</x:formula1>
      <x:formula2>100000</x:formula2>
    </x:dataValidation>
    <x:dataValidation type="decimal" operator="between" sqref="D27">
      <x:formula1>0.1</x:formula1>
      <x:formula2>10</x:formula2>
    </x:dataValidation>
    <x:dataValidation type="decimal" operator="between" sqref="D28">
      <x:formula1>0.01</x:formula1>
      <x:formula2>1</x:formula2>
    </x:dataValidation>
    <x:dataValidation type="decimal" operator="between" sqref="D29:D30">
      <x:formula1>0</x:formula1>
      <x:formula2>1</x:formula2>
    </x:dataValidation>
    <x:dataValidation type="decimal" operator="between" sqref="D31">
      <x:formula1>0</x:formula1>
      <x:formula2>100000</x:formula2>
    </x:dataValidation>
    <x:dataValidation type="decimal" operator="between" sqref="D33:D35">
      <x:formula1>0</x:formula1>
      <x:formula2>100000</x:formula2>
    </x:dataValidation>
    <x:dataValidation type="decimal" operator="between" sqref="D36:D37">
      <x:formula1>0.01</x:formula1>
      <x:formula2>1</x:formula2>
    </x:dataValidation>
    <x:dataValidation type="decimal" operator="between" sqref="D38">
      <x:formula1>0</x:formula1>
      <x:formula2>100000</x:formula2>
    </x:dataValidation>
    <x:dataValidation type="list" sqref="D32">
      <x:formula1>"Net battery,Gross at battery,Panel watts"</x:formula1>
    </x:dataValidation>
    <x:dataValidation type="whole" operator="between" sqref="E24:E25">
      <x:formula1>1</x:formula1>
      <x:formula2>100</x:formula2>
    </x:dataValidation>
    <x:dataValidation type="decimal" operator="between" sqref="E26">
      <x:formula1>1</x:formula1>
      <x:formula2>100000</x:formula2>
    </x:dataValidation>
    <x:dataValidation type="decimal" operator="between" sqref="E27">
      <x:formula1>0.1</x:formula1>
      <x:formula2>10</x:formula2>
    </x:dataValidation>
    <x:dataValidation type="decimal" operator="between" sqref="E28">
      <x:formula1>0.01</x:formula1>
      <x:formula2>1</x:formula2>
    </x:dataValidation>
    <x:dataValidation type="decimal" operator="between" sqref="E29:E30">
      <x:formula1>0</x:formula1>
      <x:formula2>1</x:formula2>
    </x:dataValidation>
    <x:dataValidation type="decimal" operator="between" sqref="E31">
      <x:formula1>0</x:formula1>
      <x:formula2>100000</x:formula2>
    </x:dataValidation>
    <x:dataValidation type="decimal" operator="between" sqref="E33:E35">
      <x:formula1>0</x:formula1>
      <x:formula2>100000</x:formula2>
    </x:dataValidation>
    <x:dataValidation type="decimal" operator="between" sqref="E36:E37">
      <x:formula1>0.01</x:formula1>
      <x:formula2>1</x:formula2>
    </x:dataValidation>
    <x:dataValidation type="decimal" operator="between" sqref="E38">
      <x:formula1>0</x:formula1>
      <x:formula2>100000</x:formula2>
    </x:dataValidation>
    <x:dataValidation type="list" sqref="E32">
      <x:formula1>"Net battery,Gross at battery,Panel watts"</x:formula1>
    </x:dataValidation>
    <x:dataValidation type="whole" operator="between" sqref="F24:F25">
      <x:formula1>1</x:formula1>
      <x:formula2>100</x:formula2>
    </x:dataValidation>
    <x:dataValidation type="decimal" operator="between" sqref="F26">
      <x:formula1>1</x:formula1>
      <x:formula2>100000</x:formula2>
    </x:dataValidation>
    <x:dataValidation type="decimal" operator="between" sqref="F27">
      <x:formula1>0.1</x:formula1>
      <x:formula2>10</x:formula2>
    </x:dataValidation>
    <x:dataValidation type="decimal" operator="between" sqref="F28">
      <x:formula1>0.01</x:formula1>
      <x:formula2>1</x:formula2>
    </x:dataValidation>
    <x:dataValidation type="decimal" operator="between" sqref="F29:F30">
      <x:formula1>0</x:formula1>
      <x:formula2>1</x:formula2>
    </x:dataValidation>
    <x:dataValidation type="decimal" operator="between" sqref="F31">
      <x:formula1>0</x:formula1>
      <x:formula2>100000</x:formula2>
    </x:dataValidation>
    <x:dataValidation type="decimal" operator="between" sqref="F33:F35">
      <x:formula1>0</x:formula1>
      <x:formula2>100000</x:formula2>
    </x:dataValidation>
    <x:dataValidation type="decimal" operator="between" sqref="F36:F37">
      <x:formula1>0.01</x:formula1>
      <x:formula2>1</x:formula2>
    </x:dataValidation>
    <x:dataValidation type="decimal" operator="between" sqref="F38">
      <x:formula1>0</x:formula1>
      <x:formula2>100000</x:formula2>
    </x:dataValidation>
    <x:dataValidation type="list" sqref="F32">
      <x:formula1>"Net battery,Gross at battery,Panel watts"</x:formula1>
    </x:dataValidation>
    <x:dataValidation type="whole" operator="between" sqref="G24:G25">
      <x:formula1>1</x:formula1>
      <x:formula2>100</x:formula2>
    </x:dataValidation>
    <x:dataValidation type="decimal" operator="between" sqref="G26">
      <x:formula1>1</x:formula1>
      <x:formula2>100000</x:formula2>
    </x:dataValidation>
    <x:dataValidation type="decimal" operator="between" sqref="G27">
      <x:formula1>0.1</x:formula1>
      <x:formula2>10</x:formula2>
    </x:dataValidation>
    <x:dataValidation type="decimal" operator="between" sqref="G28">
      <x:formula1>0.01</x:formula1>
      <x:formula2>1</x:formula2>
    </x:dataValidation>
    <x:dataValidation type="decimal" operator="between" sqref="G29:G30">
      <x:formula1>0</x:formula1>
      <x:formula2>1</x:formula2>
    </x:dataValidation>
    <x:dataValidation type="decimal" operator="between" sqref="G31">
      <x:formula1>0</x:formula1>
      <x:formula2>100000</x:formula2>
    </x:dataValidation>
    <x:dataValidation type="decimal" operator="between" sqref="G33:G35">
      <x:formula1>0</x:formula1>
      <x:formula2>100000</x:formula2>
    </x:dataValidation>
    <x:dataValidation type="decimal" operator="between" sqref="G36:G37">
      <x:formula1>0.01</x:formula1>
      <x:formula2>1</x:formula2>
    </x:dataValidation>
    <x:dataValidation type="decimal" operator="between" sqref="G38">
      <x:formula1>0</x:formula1>
      <x:formula2>100000</x:formula2>
    </x:dataValidation>
    <x:dataValidation type="list" sqref="G32">
      <x:formula1>"Net battery,Gross at battery,Panel watts"</x:formula1>
    </x:dataValidation>
    <x:dataValidation type="whole" operator="between" sqref="H24:H25">
      <x:formula1>1</x:formula1>
      <x:formula2>100</x:formula2>
    </x:dataValidation>
    <x:dataValidation type="decimal" operator="between" sqref="H26">
      <x:formula1>1</x:formula1>
      <x:formula2>100000</x:formula2>
    </x:dataValidation>
    <x:dataValidation type="decimal" operator="between" sqref="H27">
      <x:formula1>0.1</x:formula1>
      <x:formula2>10</x:formula2>
    </x:dataValidation>
    <x:dataValidation type="decimal" operator="between" sqref="H28">
      <x:formula1>0.01</x:formula1>
      <x:formula2>1</x:formula2>
    </x:dataValidation>
    <x:dataValidation type="decimal" operator="between" sqref="H29:H30">
      <x:formula1>0</x:formula1>
      <x:formula2>1</x:formula2>
    </x:dataValidation>
    <x:dataValidation type="decimal" operator="between" sqref="H31">
      <x:formula1>0</x:formula1>
      <x:formula2>100000</x:formula2>
    </x:dataValidation>
    <x:dataValidation type="decimal" operator="between" sqref="H33:H35">
      <x:formula1>0</x:formula1>
      <x:formula2>100000</x:formula2>
    </x:dataValidation>
    <x:dataValidation type="decimal" operator="between" sqref="H36:H37">
      <x:formula1>0.01</x:formula1>
      <x:formula2>1</x:formula2>
    </x:dataValidation>
    <x:dataValidation type="decimal" operator="between" sqref="H38">
      <x:formula1>0</x:formula1>
      <x:formula2>100000</x:formula2>
    </x:dataValidation>
    <x:dataValidation type="list" sqref="H32">
      <x:formula1>"Net battery,Gross at battery,Panel watts"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96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40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External pack powering and recharging nodes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 t="str">
        <x:v>Four/eight-cell examples are hypothetical 1S packs. Efficiencies and current limits require measurement.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 t="str">
        <x:v>Node to support</x:v>
      </x:c>
      <x:c r="C4" s="14" t="str">
        <x:v>G003</x:v>
      </x:c>
      <x:c r="D4" s="2"/>
      <x:c r="E4" s="2" t="str">
        <x:v>Simultaneous nodes</x:v>
      </x:c>
      <x:c r="F4" s="15" t="n">
        <x:v>1</x:v>
      </x:c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8" t="str">
        <x:v>Pack example</x:v>
      </x:c>
      <x:c r="C6" s="8" t="str">
        <x:v>Available cell Wh</x:v>
      </x:c>
      <x:c r="D6" s="8" t="str">
        <x:v>USB usable Wh</x:v>
      </x:c>
      <x:c r="E6" s="8" t="str">
        <x:v>Continuous hours</x:v>
      </x:c>
      <x:c r="F6" s="8" t="str">
        <x:v>Recharge batches</x:v>
      </x:c>
      <x:c r="G6" s="2"/>
      <x:c r="H6" s="2"/>
      <x:c r="I6" s="2"/>
      <x:c r="J6" s="2"/>
      <x:c r="K6" s="2"/>
      <x:c r="L6" s="2"/>
    </x:row>
    <x:row r="7" ht="22" customHeight="1">
      <x:c r="A7" s="2"/>
      <x:c r="B7" s="2" t="str">
        <x:v>4-cell example</x:v>
      </x:c>
      <x:c r="C7" s="19" t="n">
        <x:f>C38</x:f>
        <x:v>29.376</x:v>
      </x:c>
      <x:c r="D7" s="19" t="n">
        <x:f>C39</x:f>
        <x:v>25.11648</x:v>
      </x:c>
      <x:c r="E7" s="19" t="n">
        <x:f>C43</x:f>
        <x:v>37.288564017920294</x:v>
      </x:c>
      <x:c r="F7" s="18" t="n">
        <x:f>C51</x:f>
        <x:v>0</x:v>
      </x:c>
      <x:c r="G7" s="2"/>
      <x:c r="H7" s="2"/>
      <x:c r="I7" s="2"/>
      <x:c r="J7" s="2"/>
      <x:c r="K7" s="2"/>
      <x:c r="L7" s="2"/>
    </x:row>
    <x:row r="8" ht="22" customHeight="1">
      <x:c r="A8" s="2"/>
      <x:c r="B8" s="2" t="str">
        <x:v>8-cell example</x:v>
      </x:c>
      <x:c r="C8" s="19" t="n">
        <x:f>D38</x:f>
        <x:v>58.752</x:v>
      </x:c>
      <x:c r="D8" s="19" t="n">
        <x:f>D39</x:f>
        <x:v>50.23296</x:v>
      </x:c>
      <x:c r="E8" s="19" t="n">
        <x:f>D43</x:f>
        <x:v>74.57712803584059</x:v>
      </x:c>
      <x:c r="F8" s="18" t="n">
        <x:f>D51</x:f>
        <x:v>0</x:v>
      </x:c>
      <x:c r="G8" s="2"/>
      <x:c r="H8" s="2"/>
      <x:c r="I8" s="2"/>
      <x:c r="J8" s="2"/>
      <x:c r="K8" s="2"/>
      <x:c r="L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/>
      <x:c r="B10" s="4" t="str">
        <x:v>Continuous hours exclude internal-battery charging. Recharge batches include operation, charging and idle draw.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34" customHeight="1">
      <x:c r="A16" s="2"/>
      <x:c r="B16" s="8" t="str">
        <x:v>Editable external-pack inputs</x:v>
      </x:c>
      <x:c r="C16" s="8" t="str">
        <x:v>4-cell example</x:v>
      </x:c>
      <x:c r="D16" s="8" t="str">
        <x:v>8-cell example</x:v>
      </x:c>
      <x:c r="E16" s="2"/>
      <x:c r="F16" s="8" t="str">
        <x:v>Node input / charging assumptions</x:v>
      </x:c>
      <x:c r="G16" s="8" t="str">
        <x:v>Value</x:v>
      </x:c>
      <x:c r="H16" s="8" t="str">
        <x:v>Unit</x:v>
      </x:c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 t="str">
        <x:v>Cells in series (S)</x:v>
      </x:c>
      <x:c r="C18" s="12" t="n">
        <x:v>1</x:v>
      </x:c>
      <x:c r="D18" s="12" t="n">
        <x:v>1</x:v>
      </x:c>
      <x:c r="E18" s="2"/>
      <x:c r="F18" s="2" t="str">
        <x:v>Node power-path efficiency</x:v>
      </x:c>
      <x:c r="G18" s="13" t="n">
        <x:v>0.85</x:v>
      </x:c>
      <x:c r="H18" s="2" t="str">
        <x:v>fraction</x:v>
      </x:c>
      <x:c r="I18" s="2"/>
      <x:c r="J18" s="2"/>
      <x:c r="K18" s="2"/>
      <x:c r="L18" s="2"/>
    </x:row>
    <x:row r="19" ht="22" customHeight="1">
      <x:c r="A19" s="2"/>
      <x:c r="B19" s="2" t="str">
        <x:v>Cells in parallel (P)</x:v>
      </x:c>
      <x:c r="C19" s="12" t="n">
        <x:v>4</x:v>
      </x:c>
      <x:c r="D19" s="12" t="n">
        <x:v>8</x:v>
      </x:c>
      <x:c r="E19" s="2"/>
      <x:c r="F19" s="2" t="str">
        <x:v>Internal battery initial SOC</x:v>
      </x:c>
      <x:c r="G19" s="13" t="n">
        <x:v>0.2</x:v>
      </x:c>
      <x:c r="H19" s="2" t="str">
        <x:v>fraction</x:v>
      </x:c>
      <x:c r="I19" s="2"/>
      <x:c r="J19" s="2"/>
      <x:c r="K19" s="2"/>
      <x:c r="L19" s="2"/>
    </x:row>
    <x:row r="20" ht="22" customHeight="1">
      <x:c r="A20" s="2"/>
      <x:c r="B20" s="2" t="str">
        <x:v>Cell rated capacity, mAh</x:v>
      </x:c>
      <x:c r="C20" s="12" t="n">
        <x:v>2550</x:v>
      </x:c>
      <x:c r="D20" s="12" t="n">
        <x:v>2550</x:v>
      </x:c>
      <x:c r="E20" s="2"/>
      <x:c r="F20" s="2" t="str">
        <x:v>Internal battery target SOC</x:v>
      </x:c>
      <x:c r="G20" s="13" t="n">
        <x:v>1</x:v>
      </x:c>
      <x:c r="H20" s="2" t="str">
        <x:v>fraction</x:v>
      </x:c>
      <x:c r="I20" s="2"/>
      <x:c r="J20" s="2"/>
      <x:c r="K20" s="2"/>
      <x:c r="L20" s="2"/>
    </x:row>
    <x:row r="21" ht="22" customHeight="1">
      <x:c r="A21" s="2"/>
      <x:c r="B21" s="2" t="str">
        <x:v>Cell nominal voltage, V</x:v>
      </x:c>
      <x:c r="C21" s="12" t="n">
        <x:v>3.6</x:v>
      </x:c>
      <x:c r="D21" s="12" t="n">
        <x:v>3.6</x:v>
      </x:c>
      <x:c r="E21" s="2"/>
      <x:c r="F21" s="2" t="str">
        <x:v>Node charging conversion efficiency</x:v>
      </x:c>
      <x:c r="G21" s="13" t="n">
        <x:v>0.85</x:v>
      </x:c>
      <x:c r="H21" s="2" t="str">
        <x:v>fraction</x:v>
      </x:c>
      <x:c r="I21" s="2"/>
      <x:c r="J21" s="2"/>
      <x:c r="K21" s="2"/>
      <x:c r="L21" s="2"/>
    </x:row>
    <x:row r="22" ht="22" customHeight="1">
      <x:c r="A22" s="2"/>
      <x:c r="B22" s="2" t="str">
        <x:v>Capacity condition / cold factor</x:v>
      </x:c>
      <x:c r="C22" s="13" t="n">
        <x:v>1</x:v>
      </x:c>
      <x:c r="D22" s="13" t="n">
        <x:v>1</x:v>
      </x:c>
      <x:c r="E22" s="2"/>
      <x:c r="F22" s="2" t="str">
        <x:v>Assumed net node charging current</x:v>
      </x:c>
      <x:c r="G22" s="20" t="n">
        <x:v>0.35</x:v>
      </x:c>
      <x:c r="H22" s="2" t="str">
        <x:v>A / node</x:v>
      </x:c>
      <x:c r="I22" s="2"/>
      <x:c r="J22" s="2"/>
      <x:c r="K22" s="2"/>
      <x:c r="L22" s="2"/>
    </x:row>
    <x:row r="23" ht="22" customHeight="1">
      <x:c r="A23" s="2"/>
      <x:c r="B23" s="2" t="str">
        <x:v>Starting state of charge</x:v>
      </x:c>
      <x:c r="C23" s="13" t="n">
        <x:v>1</x:v>
      </x:c>
      <x:c r="D23" s="13" t="n">
        <x:v>1</x:v>
      </x:c>
      <x:c r="E23" s="2"/>
      <x:c r="F23" s="2" t="str">
        <x:v>Charge retention</x:v>
      </x:c>
      <x:c r="G23" s="13" t="n">
        <x:v>0.9</x:v>
      </x:c>
      <x:c r="H23" s="2" t="str">
        <x:v>fraction</x:v>
      </x:c>
      <x:c r="I23" s="2"/>
      <x:c r="J23" s="2"/>
      <x:c r="K23" s="2"/>
      <x:c r="L23" s="2"/>
    </x:row>
    <x:row r="24" ht="22" customHeight="1">
      <x:c r="A24" s="2"/>
      <x:c r="B24" s="2" t="str">
        <x:v>Reserve state of charge</x:v>
      </x:c>
      <x:c r="C24" s="13" t="n">
        <x:v>0.2</x:v>
      </x:c>
      <x:c r="D24" s="13" t="n">
        <x:v>0.2</x:v>
      </x:c>
      <x:c r="E24" s="2"/>
      <x:c r="F24" s="2" t="str">
        <x:v>Time multiplier for taper</x:v>
      </x:c>
      <x:c r="G24" s="20" t="n">
        <x:v>1.2</x:v>
      </x:c>
      <x:c r="H24" s="2" t="str">
        <x:v>times</x:v>
      </x:c>
      <x:c r="I24" s="2"/>
      <x:c r="J24" s="2"/>
      <x:c r="K24" s="2"/>
      <x:c r="L24" s="2"/>
    </x:row>
    <x:row r="25" ht="22" customHeight="1">
      <x:c r="A25" s="2"/>
      <x:c r="B25" s="2" t="str">
        <x:v>Boost efficiency</x:v>
      </x:c>
      <x:c r="C25" s="13" t="n">
        <x:v>0.9</x:v>
      </x:c>
      <x:c r="D25" s="13" t="n">
        <x:v>0.9</x:v>
      </x:c>
      <x:c r="E25" s="2"/>
      <x:c r="F25" s="2"/>
      <x:c r="G25" s="2"/>
      <x:c r="H25" s="2"/>
      <x:c r="I25" s="2"/>
      <x:c r="J25" s="2"/>
      <x:c r="K25" s="2"/>
      <x:c r="L25" s="2"/>
    </x:row>
    <x:row r="26" ht="22" customHeight="1">
      <x:c r="A26" s="2"/>
      <x:c r="B26" s="2" t="str">
        <x:v>Cable / connector efficiency</x:v>
      </x:c>
      <x:c r="C26" s="13" t="n">
        <x:v>0.95</x:v>
      </x:c>
      <x:c r="D26" s="13" t="n">
        <x:v>0.95</x:v>
      </x:c>
      <x:c r="E26" s="2"/>
      <x:c r="F26" s="2" t="str">
        <x:v>Selected nominal battery voltage, V</x:v>
      </x:c>
      <x:c r="G26" s="2" t="n">
        <x:f>INDEX('Fleet'!$C$46:$H$46,1,MATCH($C$4,'Fleet'!$C$22:$H$22,0))</x:f>
        <x:v>3.6</x:v>
      </x:c>
      <x:c r="H26" s="2"/>
      <x:c r="I26" s="2"/>
      <x:c r="J26" s="2"/>
      <x:c r="K26" s="2"/>
      <x:c r="L26" s="2"/>
    </x:row>
    <x:row r="27" ht="22" customHeight="1">
      <x:c r="A27" s="2"/>
      <x:c r="B27" s="2" t="str">
        <x:v>Pack electronics idle draw, W</x:v>
      </x:c>
      <x:c r="C27" s="20" t="n">
        <x:v>0.02</x:v>
      </x:c>
      <x:c r="D27" s="20" t="n">
        <x:v>0.02</x:v>
      </x:c>
      <x:c r="E27" s="2"/>
      <x:c r="F27" s="2" t="str">
        <x:v>Selected battery load, W</x:v>
      </x:c>
      <x:c r="G27" s="2" t="n">
        <x:f>INDEX('Fleet'!$C$50:$H$50,1,MATCH($C$4,'Fleet'!$C$22:$H$22,0))</x:f>
        <x:v>0.558</x:v>
      </x:c>
      <x:c r="H27" s="2"/>
      <x:c r="I27" s="2"/>
      <x:c r="J27" s="2"/>
      <x:c r="K27" s="2"/>
      <x:c r="L27" s="2"/>
    </x:row>
    <x:row r="28" ht="22" customHeight="1">
      <x:c r="A28" s="2"/>
      <x:c r="B28" s="2" t="str">
        <x:v>USB output voltage, V</x:v>
      </x:c>
      <x:c r="C28" s="12" t="n">
        <x:v>5</x:v>
      </x:c>
      <x:c r="D28" s="12" t="n">
        <x:v>5</x:v>
      </x:c>
      <x:c r="E28" s="2"/>
      <x:c r="F28" s="2" t="str">
        <x:v>Selected nominal battery Wh</x:v>
      </x:c>
      <x:c r="G28" s="2" t="n">
        <x:f>INDEX('Fleet'!$C$48:$H$48,1,MATCH($C$4,'Fleet'!$C$22:$H$22,0))</x:f>
        <x:v>73.44</x:v>
      </x:c>
      <x:c r="H28" s="2"/>
      <x:c r="I28" s="2"/>
      <x:c r="J28" s="2"/>
      <x:c r="K28" s="2"/>
      <x:c r="L28" s="2"/>
    </x:row>
    <x:row r="29" ht="22" customHeight="1">
      <x:c r="A29" s="2"/>
      <x:c r="B29" s="2" t="str">
        <x:v>USB continuous current limit, A</x:v>
      </x:c>
      <x:c r="C29" s="12" t="n">
        <x:v>2</x:v>
      </x:c>
      <x:c r="D29" s="12" t="n">
        <x:v>2</x:v>
      </x:c>
      <x:c r="E29" s="2"/>
      <x:c r="F29" s="2" t="str">
        <x:v>Selected capacity condition factor</x:v>
      </x:c>
      <x:c r="G29" s="2" t="n">
        <x:f>INDEX('Fleet'!$C$28:$H$28,1,MATCH($C$4,'Fleet'!$C$22:$H$22,0))</x:f>
        <x:v>1</x:v>
      </x:c>
      <x:c r="H29" s="2"/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10" t="str">
        <x:v>Energy and runtime calculation</x:v>
      </x:c>
      <x:c r="C32" s="10"/>
      <x:c r="D32" s="10"/>
      <x:c r="E32" s="2"/>
      <x:c r="F32" s="4" t="str">
        <x:v>Operating + charging power is checked separately from available energy.</x:v>
      </x:c>
      <x:c r="G32" s="2"/>
      <x:c r="H32" s="2"/>
      <x:c r="I32" s="2"/>
      <x:c r="J32" s="2"/>
      <x:c r="K32" s="2"/>
      <x:c r="L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2" t="str">
        <x:v>Pack and node inputs</x:v>
      </x:c>
      <x:c r="C34" s="2" t="str">
        <x:f>IF(AND(COUNT(C18:C29)=12,MIN(C18:C22)&gt;0,C22&lt;=1,C23&gt;=C24,C23&lt;=1,C24&gt;=0,MIN(C25:C26)&gt;0,MAX(C25:C26)&lt;=1,C27&gt;=0,MIN(C28:C29)&gt;0,COUNT($G$18:$G$24)=7,$G$18&gt;0,$G$21&gt;0,$G$22&gt;0,$G$23&gt;0,$G$24&gt;=1,$G$20&gt;=$G$19,$G$20&lt;=1,$G$19&gt;=0,COUNT($G$26:$G$29)=4),"Ready","Inputs needed")</x:f>
        <x:v>Ready</x:v>
      </x:c>
      <x:c r="D34" s="2" t="str">
        <x:f>IF(AND(COUNT(D18:D29)=12,MIN(D18:D22)&gt;0,D22&lt;=1,D23&gt;=D24,D23&lt;=1,D24&gt;=0,MIN(D25:D26)&gt;0,MAX(D25:D26)&lt;=1,D27&gt;=0,MIN(D28:D29)&gt;0,COUNT($G$18:$G$24)=7,$G$18&gt;0,$G$21&gt;0,$G$22&gt;0,$G$23&gt;0,$G$24&gt;=1,$G$20&gt;=$G$19,$G$20&lt;=1,$G$19&gt;=0,COUNT($G$26:$G$29)=4),"Ready","Inputs needed")</x:f>
        <x:v>Ready</x:v>
      </x:c>
      <x:c r="E34" s="2"/>
      <x:c r="F34" s="4" t="str">
        <x:v>A boost converter can hit its current limit before the cells run empty.</x:v>
      </x:c>
      <x:c r="G34" s="2"/>
      <x:c r="H34" s="2"/>
      <x:c r="I34" s="2"/>
      <x:c r="J34" s="2"/>
      <x:c r="K34" s="2"/>
      <x:c r="L34" s="2"/>
    </x:row>
    <x:row r="35" ht="22" customHeight="1">
      <x:c r="A35" s="2"/>
      <x:c r="B35" s="2" t="str">
        <x:v>Nominal pack voltage, V</x:v>
      </x:c>
      <x:c r="C35" s="16" t="n">
        <x:f>IF(C34="Ready",C18*C21,"Inputs needed")</x:f>
        <x:v>3.6</x:v>
      </x:c>
      <x:c r="D35" s="16" t="n">
        <x:f>IF(D34="Ready",D18*D21,"Inputs needed")</x:f>
        <x:v>3.6</x:v>
      </x:c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 t="str">
        <x:v>Nominal pack capacity, Ah</x:v>
      </x:c>
      <x:c r="C36" s="16" t="n">
        <x:f>IF(C34="Ready",C19*C20/1000,"Inputs needed")</x:f>
        <x:v>10.2</x:v>
      </x:c>
      <x:c r="D36" s="16" t="n">
        <x:f>IF(D34="Ready",D19*D20/1000,"Inputs needed")</x:f>
        <x:v>20.4</x:v>
      </x:c>
      <x:c r="E36" s="2"/>
      <x:c r="F36" s="4" t="str">
        <x:v>Do not add internal and external battery hours unless the power path permits both.</x:v>
      </x:c>
      <x:c r="G36" s="2"/>
      <x:c r="H36" s="2"/>
      <x:c r="I36" s="2"/>
      <x:c r="J36" s="2"/>
      <x:c r="K36" s="2"/>
      <x:c r="L36" s="2"/>
    </x:row>
    <x:row r="37" ht="22" customHeight="1">
      <x:c r="A37" s="2"/>
      <x:c r="B37" s="2" t="str">
        <x:v>Nominal pack energy, Wh</x:v>
      </x:c>
      <x:c r="C37" s="16" t="n">
        <x:f>IF(C34="Ready",C35*C36,"Inputs needed")</x:f>
        <x:v>36.72</x:v>
      </x:c>
      <x:c r="D37" s="16" t="n">
        <x:f>IF(D34="Ready",D35*D36,"Inputs needed")</x:f>
        <x:v>73.44</x:v>
      </x:c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 t="str">
        <x:v>Available cell energy to reserve, Wh</x:v>
      </x:c>
      <x:c r="C38" s="16" t="n">
        <x:f>IF(C34="Ready",C37*C22*(C23-C24),"Inputs needed")</x:f>
        <x:v>29.376</x:v>
      </x:c>
      <x:c r="D38" s="16" t="n">
        <x:f>IF(D34="Ready",D37*D22*(D23-D24),"Inputs needed")</x:f>
        <x:v>58.752</x:v>
      </x:c>
      <x:c r="E38" s="2"/>
      <x:c r="F38" s="4" t="str">
        <x:v>Charging while the pack itself charges requires verified pass-through support.</x:v>
      </x:c>
      <x:c r="G38" s="2"/>
      <x:c r="H38" s="2"/>
      <x:c r="I38" s="2"/>
      <x:c r="J38" s="2"/>
      <x:c r="K38" s="2"/>
      <x:c r="L38" s="2"/>
    </x:row>
    <x:row r="39" ht="22" customHeight="1">
      <x:c r="A39" s="2"/>
      <x:c r="B39" s="2" t="str">
        <x:v>Delivered USB energy, Wh (no idle)</x:v>
      </x:c>
      <x:c r="C39" s="16" t="n">
        <x:f>IF(C34="Ready",C38*C25*C26,"Inputs needed")</x:f>
        <x:v>25.11648</x:v>
      </x:c>
      <x:c r="D39" s="16" t="n">
        <x:f>IF(D34="Ready",D38*D25*D26,"Inputs needed")</x:f>
        <x:v>50.23296</x:v>
      </x:c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 t="str">
        <x:v>Usable USB capacity, Ah at output V</x:v>
      </x:c>
      <x:c r="C40" s="16" t="n">
        <x:f>IF(C34="Ready",C39/C28,"Inputs needed")</x:f>
        <x:v>5.023296</x:v>
      </x:c>
      <x:c r="D40" s="16" t="n">
        <x:f>IF(D34="Ready",D39/D28,"Inputs needed")</x:f>
        <x:v>10.046592</x:v>
      </x:c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 t="str">
        <x:v>USB demand running nodes, W</x:v>
      </x:c>
      <x:c r="C41" s="16" t="n">
        <x:f>IF(C34="Ready",$G$27*$F$4/$G$18,"Inputs needed")</x:f>
        <x:v>0.6564705882352943</x:v>
      </x:c>
      <x:c r="D41" s="16" t="n">
        <x:f>IF(D34="Ready",$G$27*$F$4/$G$18,"Inputs needed")</x:f>
        <x:v>0.6564705882352943</x:v>
      </x:c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 t="str">
        <x:v>Cell-side running demand incl idle, W</x:v>
      </x:c>
      <x:c r="C42" s="16" t="n">
        <x:f>IF(C34="Ready",C41/(C25*C26)+C27,"Inputs needed")</x:f>
        <x:v>0.7878018575851395</x:v>
      </x:c>
      <x:c r="D42" s="16" t="n">
        <x:f>IF(D34="Ready",D41/(D25*D26)+D27,"Inputs needed")</x:f>
        <x:v>0.7878018575851395</x:v>
      </x:c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 t="str">
        <x:v>External-pack-only runtime, hours</x:v>
      </x:c>
      <x:c r="C43" s="16" t="n">
        <x:f>IF(C34="Ready",IF(C41&gt;C52,"Output overload",IF(C42=0,"No load",C38/C42)),"Inputs needed")</x:f>
        <x:v>37.288564017920294</x:v>
      </x:c>
      <x:c r="D43" s="16" t="n">
        <x:f>IF(D34="Ready",IF(D41&gt;D52,"Output overload",IF(D42=0,"No load",D38/D42)),"Inputs needed")</x:f>
        <x:v>74.57712803584059</x:v>
      </x:c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 t="str">
        <x:v>Stored recharge energy per node, Wh</x:v>
      </x:c>
      <x:c r="C44" s="16" t="n">
        <x:f>IF(C34="Ready",$G$28*$G$29*($G$20-$G$19),"Inputs needed")</x:f>
        <x:v>58.752</x:v>
      </x:c>
      <x:c r="D44" s="16" t="n">
        <x:f>IF(D34="Ready",$G$28*$G$29*($G$20-$G$19),"Inputs needed")</x:f>
        <x:v>58.752</x:v>
      </x:c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 t="str">
        <x:v>Stored node charge power, W</x:v>
      </x:c>
      <x:c r="C45" s="16" t="n">
        <x:f>IF(C34="Ready",$G$26*$G$22*$G$23,"Inputs needed")</x:f>
        <x:v>1.1340000000000001</x:v>
      </x:c>
      <x:c r="D45" s="16" t="n">
        <x:f>IF(D34="Ready",$G$26*$G$22*$G$23,"Inputs needed")</x:f>
        <x:v>1.1340000000000001</x:v>
      </x:c>
      <x:c r="E45" s="2"/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 t="str">
        <x:v>Node recharge time incl taper, hours</x:v>
      </x:c>
      <x:c r="C46" s="16" t="n">
        <x:f>IF(C34="Ready",C44/C45*$G$24,"Inputs needed")</x:f>
        <x:v>62.171428571428564</x:v>
      </x:c>
      <x:c r="D46" s="16" t="n">
        <x:f>IF(D34="Ready",D44/D45*$G$24,"Inputs needed")</x:f>
        <x:v>62.171428571428564</x:v>
      </x:c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2" t="str">
        <x:v>Peak USB running + charging, W</x:v>
      </x:c>
      <x:c r="C47" s="16" t="n">
        <x:f>IF(C34="Ready",C41+$G$26*$G$22*$F$4/$G$21,"Inputs needed")</x:f>
        <x:v>2.138823529411765</x:v>
      </x:c>
      <x:c r="D47" s="16" t="n">
        <x:f>IF(D34="Ready",D41+$G$26*$G$22*$F$4/$G$21,"Inputs needed")</x:f>
        <x:v>2.138823529411765</x:v>
      </x:c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 t="str">
        <x:v>Peak cell demand during recharge, W</x:v>
      </x:c>
      <x:c r="C48" s="16" t="n">
        <x:f>IF(C34="Ready",C47/(C25*C26)+C27,"Inputs needed")</x:f>
        <x:v>2.5215479876160996</x:v>
      </x:c>
      <x:c r="D48" s="16" t="n">
        <x:f>IF(D34="Ready",D47/(D25*D26)+D27,"Inputs needed")</x:f>
        <x:v>2.5215479876160996</x:v>
      </x:c>
      <x:c r="E48" s="2"/>
      <x:c r="F48" s="2"/>
      <x:c r="G48" s="2"/>
      <x:c r="H48" s="2"/>
      <x:c r="I48" s="2"/>
      <x:c r="J48" s="2"/>
      <x:c r="K48" s="2"/>
      <x:c r="L48" s="2"/>
    </x:row>
    <x:row r="49" ht="22" customHeight="1">
      <x:c r="A49" s="2"/>
      <x:c r="B49" s="2" t="str">
        <x:v>One recharge batch pack energy, Wh</x:v>
      </x:c>
      <x:c r="C49" s="16" t="n">
        <x:f>IF(C34="Ready",(C44*$F$4/($G$23*$G$21)+C41*C46)/(C25*C26)+C27*C46,"Inputs needed")</x:f>
        <x:v>138.80332832080202</x:v>
      </x:c>
      <x:c r="D49" s="16" t="n">
        <x:f>IF(D34="Ready",(D44*$F$4/($G$23*$G$21)+D41*D46)/(D25*D26)+D27*D46,"Inputs needed")</x:f>
        <x:v>138.80332832080202</x:v>
      </x:c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/>
      <x:c r="B50" s="2" t="str">
        <x:v>One recharge batch possible?</x:v>
      </x:c>
      <x:c r="C50" s="16" t="str">
        <x:f>IF(C34="Ready",IF(C47&gt;C52,"Output overload",IF(C38&gt;=C49,"Energy sufficient","Energy short")),"Inputs needed")</x:f>
        <x:v>Energy short</x:v>
      </x:c>
      <x:c r="D50" s="16" t="str">
        <x:f>IF(D34="Ready",IF(D47&gt;D52,"Output overload",IF(D38&gt;=D49,"Energy sufficient","Energy short")),"Inputs needed")</x:f>
        <x:v>Energy short</x:v>
      </x:c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2" t="str">
        <x:v>Complete recharge batches</x:v>
      </x:c>
      <x:c r="C51" s="18" t="n">
        <x:f>IF(C34="Ready",IF(C47&gt;C52,"Output overload",IF(C49=0,"Already at target",ROUNDDOWN(C38/C49,0))),"Inputs needed")</x:f>
        <x:v>0</x:v>
      </x:c>
      <x:c r="D51" s="18" t="n">
        <x:f>IF(D34="Ready",IF(D47&gt;D52,"Output overload",IF(D49=0,"Already at target",ROUNDDOWN(D38/D49,0))),"Inputs needed")</x:f>
        <x:v>0</x:v>
      </x:c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 t="str">
        <x:v>USB continuous power limit, W</x:v>
      </x:c>
      <x:c r="C52" s="16" t="n">
        <x:f>IF(C34="Ready",C28*C29,"Inputs needed")</x:f>
        <x:v>10</x:v>
      </x:c>
      <x:c r="D52" s="16" t="n">
        <x:f>IF(D34="Ready",D28*D29,"Inputs needed")</x:f>
        <x:v>10</x:v>
      </x:c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2" t="str">
        <x:v>Power limit while running</x:v>
      </x:c>
      <x:c r="C53" s="16" t="str">
        <x:f>IF(C34="Ready",IF(C41&lt;=C52,"Within limit","Output overload"),"Inputs needed")</x:f>
        <x:v>Within limit</x:v>
      </x:c>
      <x:c r="D53" s="16" t="str">
        <x:f>IF(D34="Ready",IF(D41&lt;=D52,"Within limit","Output overload"),"Inputs needed")</x:f>
        <x:v>Within limit</x:v>
      </x:c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 t="str">
        <x:v>Power limit during recharging</x:v>
      </x:c>
      <x:c r="C54" s="16" t="str">
        <x:f>IF(C34="Ready",IF(C47&lt;=C52,"Within limit","Output overload"),"Inputs needed")</x:f>
        <x:v>Within limit</x:v>
      </x:c>
      <x:c r="D54" s="16" t="str">
        <x:f>IF(D34="Ready",IF(D47&lt;=D52,"Within limit","Output overload"),"Inputs needed")</x:f>
        <x:v>Within limit</x:v>
      </x:c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 t="str">
        <x:v>Continuous USB current, A</x:v>
      </x:c>
      <x:c r="C55" s="16" t="n">
        <x:f>IF(C34="Ready",C41/C28,"Inputs needed")</x:f>
        <x:v>0.13129411764705884</x:v>
      </x:c>
      <x:c r="D55" s="16" t="n">
        <x:f>IF(D34="Ready",D41/D28,"Inputs needed")</x:f>
        <x:v>0.13129411764705884</x:v>
      </x:c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 t="str">
        <x:v>Peak recharging USB current, A</x:v>
      </x:c>
      <x:c r="C56" s="16" t="n">
        <x:f>IF(C34="Ready",C47/C28,"Inputs needed")</x:f>
        <x:v>0.427764705882353</x:v>
      </x:c>
      <x:c r="D56" s="16" t="n">
        <x:f>IF(D34="Ready",D47/D28,"Inputs needed")</x:f>
        <x:v>0.427764705882353</x:v>
      </x:c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 t="str">
        <x:v>Pack rated Wh for no-sun target</x:v>
      </x:c>
      <x:c r="C57" s="16" t="n">
        <x:f>IF(C34="Ready",IF(C23=C24,"No usable SOC",C42*24*'Fleet'!$I$16/(C22*(C23-C24))),"Inputs needed")</x:f>
        <x:v>70.90216718266255</x:v>
      </x:c>
      <x:c r="D57" s="16" t="n">
        <x:f>IF(D34="Ready",IF(D23=D24,"No usable SOC",D42*24*'Fleet'!$I$16/(D22*(D23-D24))),"Inputs needed")</x:f>
        <x:v>70.90216718266255</x:v>
      </x:c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 t="str">
        <x:v>Parallel cells for no-sun target</x:v>
      </x:c>
      <x:c r="C58" s="18" t="n">
        <x:f>IF(C34="Ready",IF(ISNUMBER(C57),ROUNDUP(C57/(C18*C21*C20/1000),0),C57),"Inputs needed")</x:f>
        <x:v>8</x:v>
      </x:c>
      <x:c r="D58" s="18" t="n">
        <x:f>IF(D34="Ready",IF(ISNUMBER(D57),ROUNDUP(D57/(D18*D21*D20/1000),0),D57),"Inputs needed")</x:f>
        <x:v>8</x:v>
      </x:c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conditionalFormatting sqref="C34:D56">
    <x:cfRule type="containsText" dxfId="4" priority="1" operator="containsText" text="needed"/>
    <x:cfRule type="containsText" dxfId="5" priority="2" operator="containsText" text="Deficit"/>
  </x:conditionalFormatting>
  <x:dataValidations count="18">
    <x:dataValidation type="list" sqref="C4">
      <x:formula1>"R002,R004,R006,G003,G004,Custom"</x:formula1>
    </x:dataValidation>
    <x:dataValidation type="whole" operator="between" sqref="F4">
      <x:formula1>1</x:formula1>
      <x:formula2>100</x:formula2>
    </x:dataValidation>
    <x:dataValidation type="whole" operator="between" sqref="C18:C19">
      <x:formula1>1</x:formula1>
      <x:formula2>100</x:formula2>
    </x:dataValidation>
    <x:dataValidation type="decimal" operator="between" sqref="C20">
      <x:formula1>1</x:formula1>
      <x:formula2>100000</x:formula2>
    </x:dataValidation>
    <x:dataValidation type="decimal" operator="between" sqref="C21">
      <x:formula1>0.1</x:formula1>
      <x:formula2>10</x:formula2>
    </x:dataValidation>
    <x:dataValidation type="decimal" operator="between" sqref="C22:C26">
      <x:formula1>0.01</x:formula1>
      <x:formula2>1</x:formula2>
    </x:dataValidation>
    <x:dataValidation type="decimal" operator="between" sqref="C27">
      <x:formula1>0</x:formula1>
      <x:formula2>100</x:formula2>
    </x:dataValidation>
    <x:dataValidation type="decimal" operator="between" sqref="C28:C29">
      <x:formula1>0.01</x:formula1>
      <x:formula2>100</x:formula2>
    </x:dataValidation>
    <x:dataValidation type="whole" operator="between" sqref="D18:D19">
      <x:formula1>1</x:formula1>
      <x:formula2>100</x:formula2>
    </x:dataValidation>
    <x:dataValidation type="decimal" operator="between" sqref="D20">
      <x:formula1>1</x:formula1>
      <x:formula2>100000</x:formula2>
    </x:dataValidation>
    <x:dataValidation type="decimal" operator="between" sqref="D21">
      <x:formula1>0.1</x:formula1>
      <x:formula2>10</x:formula2>
    </x:dataValidation>
    <x:dataValidation type="decimal" operator="between" sqref="D22:D26">
      <x:formula1>0.01</x:formula1>
      <x:formula2>1</x:formula2>
    </x:dataValidation>
    <x:dataValidation type="decimal" operator="between" sqref="D27">
      <x:formula1>0</x:formula1>
      <x:formula2>100</x:formula2>
    </x:dataValidation>
    <x:dataValidation type="decimal" operator="between" sqref="D28:D29">
      <x:formula1>0.01</x:formula1>
      <x:formula2>100</x:formula2>
    </x:dataValidation>
    <x:dataValidation type="decimal" operator="between" sqref="G18:G21">
      <x:formula1>0.01</x:formula1>
      <x:formula2>1</x:formula2>
    </x:dataValidation>
    <x:dataValidation type="decimal" operator="between" sqref="G22">
      <x:formula1>0.001</x:formula1>
      <x:formula2>100</x:formula2>
    </x:dataValidation>
    <x:dataValidation type="decimal" operator="between" sqref="G23">
      <x:formula1>0.01</x:formula1>
      <x:formula2>1</x:formula2>
    </x:dataValidation>
    <x:dataValidation type="decimal" operator="between" sqref="G2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Recharge the external pack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 t="str">
        <x:v>Hypothetical charger cases. PD source watts do not set battery charge current.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 t="str">
        <x:v>External pack</x:v>
      </x:c>
      <x:c r="C4" s="14" t="str">
        <x:v>8-cell example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8" t="str">
        <x:v>Charge case</x:v>
      </x:c>
      <x:c r="C6" s="8" t="str">
        <x:v>Effective A</x:v>
      </x:c>
      <x:c r="D6" s="8" t="str">
        <x:v>Time, hours</x:v>
      </x:c>
      <x:c r="E6" s="8" t="str">
        <x:v>Input Wh</x:v>
      </x:c>
      <x:c r="F6" s="8" t="str">
        <x:v>Limited by</x:v>
      </x:c>
      <x:c r="G6" s="2"/>
      <x:c r="H6" s="2"/>
      <x:c r="I6" s="2"/>
      <x:c r="J6" s="2"/>
      <x:c r="K6" s="2"/>
      <x:c r="L6" s="2"/>
    </x:row>
    <x:row r="7" ht="22" customHeight="1">
      <x:c r="A7" s="2"/>
      <x:c r="B7" s="2" t="str">
        <x:v>1 A example</x:v>
      </x:c>
      <x:c r="C7" s="16" t="n">
        <x:f>C37</x:f>
        <x:v>1</x:v>
      </x:c>
      <x:c r="D7" s="16" t="n">
        <x:f>C40</x:f>
        <x:v>20.614736842105263</x:v>
      </x:c>
      <x:c r="E7" s="16" t="n">
        <x:f>C41</x:f>
        <x:v>77.30526315789474</x:v>
      </x:c>
      <x:c r="F7" s="2" t="str">
        <x:f>C43</x:f>
        <x:v>Charger setting</x:v>
      </x:c>
      <x:c r="G7" s="2"/>
      <x:c r="H7" s="2"/>
      <x:c r="I7" s="2"/>
      <x:c r="J7" s="2"/>
      <x:c r="K7" s="2"/>
      <x:c r="L7" s="2"/>
    </x:row>
    <x:row r="8" ht="22" customHeight="1">
      <x:c r="A8" s="2"/>
      <x:c r="B8" s="2" t="str">
        <x:v>2 A example</x:v>
      </x:c>
      <x:c r="C8" s="16" t="n">
        <x:f>D37</x:f>
        <x:v>2</x:v>
      </x:c>
      <x:c r="D8" s="16" t="n">
        <x:f>D40</x:f>
        <x:v>10.307368421052631</x:v>
      </x:c>
      <x:c r="E8" s="16" t="n">
        <x:f>D41</x:f>
        <x:v>68.71578947368423</x:v>
      </x:c>
      <x:c r="F8" s="2" t="str">
        <x:f>D43</x:f>
        <x:v>Charger setting</x:v>
      </x:c>
      <x:c r="G8" s="2"/>
      <x:c r="H8" s="2"/>
      <x:c r="I8" s="2"/>
      <x:c r="J8" s="2"/>
      <x:c r="K8" s="2"/>
      <x:c r="L8" s="2"/>
    </x:row>
    <x:row r="9" ht="22" customHeight="1">
      <x:c r="A9" s="2"/>
      <x:c r="B9" s="2" t="str">
        <x:v>4 A example</x:v>
      </x:c>
      <x:c r="C9" s="16" t="n">
        <x:f>E37</x:f>
        <x:v>4</x:v>
      </x:c>
      <x:c r="D9" s="16" t="n">
        <x:f>E40</x:f>
        <x:v>5.153684210526316</x:v>
      </x:c>
      <x:c r="E9" s="16" t="n">
        <x:f>E41</x:f>
        <x:v>68.71578947368423</x:v>
      </x:c>
      <x:c r="F9" s="2" t="str">
        <x:f>E43</x:f>
        <x:v>Charger setting</x:v>
      </x:c>
      <x:c r="G9" s="2"/>
      <x:c r="H9" s="2"/>
      <x:c r="I9" s="2"/>
      <x:c r="J9" s="2"/>
      <x:c r="K9" s="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10" t="str">
        <x:v>Pack charge window</x:v>
      </x:c>
      <x:c r="C13" s="10"/>
      <x:c r="D13" s="10"/>
      <x:c r="E13" s="10"/>
      <x:c r="F13" s="10"/>
      <x:c r="G13" s="2"/>
      <x:c r="H13" s="2"/>
      <x:c r="I13" s="2"/>
      <x:c r="J13" s="2"/>
      <x:c r="K13" s="2"/>
      <x:c r="L13" s="2"/>
    </x:row>
    <x:row r="14" ht="22" customHeight="1">
      <x:c r="A14" s="2"/>
      <x:c r="B14" s="2" t="str">
        <x:v>Starting pack SOC</x:v>
      </x:c>
      <x:c r="C14" s="13" t="n">
        <x:v>0.2</x:v>
      </x:c>
      <x:c r="D14" s="2" t="str">
        <x:v>Target SOC</x:v>
      </x:c>
      <x:c r="E14" s="13" t="n">
        <x:v>1</x:v>
      </x:c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 t="str">
        <x:v>Nominal pack energy, Wh</x:v>
      </x:c>
      <x:c r="C15" s="2" t="n">
        <x:f>INDEX('Backup pack'!$C$37:$D$37,1,MATCH($C$4,'Backup pack'!$C$16:$D$16,0))</x:f>
        <x:v>73.44</x:v>
      </x:c>
      <x:c r="D15" s="2" t="str">
        <x:v>Series cells</x:v>
      </x:c>
      <x:c r="E15" s="2" t="n">
        <x:f>INDEX('Backup pack'!$C$18:$D$18,1,MATCH($C$4,'Backup pack'!$C$16:$D$16,0))</x:f>
        <x:v>1</x:v>
      </x:c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 t="str">
        <x:v>Capacity condition factor</x:v>
      </x:c>
      <x:c r="C16" s="2" t="n">
        <x:f>INDEX('Backup pack'!$C$22:$D$22,1,MATCH($C$4,'Backup pack'!$C$16:$D$16,0))</x:f>
        <x:v>1</x:v>
      </x:c>
      <x:c r="D16" s="2" t="str">
        <x:v>Nominal pack V</x:v>
      </x:c>
      <x:c r="E16" s="2" t="n">
        <x:f>INDEX('Backup pack'!$C$35:$D$35,1,MATCH($C$4,'Backup pack'!$C$16:$D$16,0))</x:f>
        <x:v>3.6</x:v>
      </x:c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 t="str">
        <x:v>Useful charging hours per day</x:v>
      </x:c>
      <x:c r="C17" s="12" t="n">
        <x:v>4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34" customHeight="1">
      <x:c r="A19" s="2"/>
      <x:c r="B19" s="8" t="str">
        <x:v>Editable charging assumptions</x:v>
      </x:c>
      <x:c r="C19" s="8" t="str">
        <x:v>1 A example</x:v>
      </x:c>
      <x:c r="D19" s="8" t="str">
        <x:v>2 A example</x:v>
      </x:c>
      <x:c r="E19" s="8" t="str">
        <x:v>4 A example</x:v>
      </x:c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 t="str">
        <x:v>Input voltage negotiated, V</x:v>
      </x:c>
      <x:c r="C20" s="20" t="n">
        <x:v>5</x:v>
      </x:c>
      <x:c r="D20" s="20" t="n">
        <x:v>9</x:v>
      </x:c>
      <x:c r="E20" s="20" t="n">
        <x:v>12</x:v>
      </x:c>
      <x:c r="F20" s="2"/>
      <x:c r="G20" s="2"/>
      <x:c r="H20" s="2"/>
      <x:c r="I20" s="2"/>
      <x:c r="J20" s="2"/>
      <x:c r="K20" s="2"/>
      <x:c r="L20" s="2"/>
    </x:row>
    <x:row r="21" ht="22" customHeight="1">
      <x:c r="A21" s="2"/>
      <x:c r="B21" s="2" t="str">
        <x:v>Available input current, A</x:v>
      </x:c>
      <x:c r="C21" s="20" t="n">
        <x:v>2</x:v>
      </x:c>
      <x:c r="D21" s="20" t="n">
        <x:v>3</x:v>
      </x:c>
      <x:c r="E21" s="20" t="n">
        <x:v>3</x:v>
      </x:c>
      <x:c r="F21" s="2"/>
      <x:c r="G21" s="2"/>
      <x:c r="H21" s="2"/>
      <x:c r="I21" s="2"/>
      <x:c r="J21" s="2"/>
      <x:c r="K21" s="2"/>
      <x:c r="L21" s="2"/>
    </x:row>
    <x:row r="22" ht="22" customHeight="1">
      <x:c r="A22" s="2"/>
      <x:c r="B22" s="2" t="str">
        <x:v>Charger current setting, A</x:v>
      </x:c>
      <x:c r="C22" s="20" t="n">
        <x:v>1</x:v>
      </x:c>
      <x:c r="D22" s="20" t="n">
        <x:v>2</x:v>
      </x:c>
      <x:c r="E22" s="20" t="n">
        <x:v>4</x:v>
      </x:c>
      <x:c r="F22" s="2"/>
      <x:c r="G22" s="2"/>
      <x:c r="H22" s="2"/>
      <x:c r="I22" s="2"/>
      <x:c r="J22" s="2"/>
      <x:c r="K22" s="2"/>
      <x:c r="L22" s="2"/>
    </x:row>
    <x:row r="23" ht="22" customHeight="1">
      <x:c r="A23" s="2"/>
      <x:c r="B23" s="2" t="str">
        <x:v>Assumed pack-path current limit, A</x:v>
      </x:c>
      <x:c r="C23" s="20" t="n">
        <x:v>4</x:v>
      </x:c>
      <x:c r="D23" s="20" t="n">
        <x:v>4</x:v>
      </x:c>
      <x:c r="E23" s="20" t="n">
        <x:v>4</x:v>
      </x:c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 t="str">
        <x:v>Charge-end voltage per series cell, V</x:v>
      </x:c>
      <x:c r="C24" s="20" t="n">
        <x:v>4.2</x:v>
      </x:c>
      <x:c r="D24" s="20" t="n">
        <x:v>4.2</x:v>
      </x:c>
      <x:c r="E24" s="20" t="n">
        <x:v>4.2</x:v>
      </x:c>
      <x:c r="F24" s="2"/>
      <x:c r="G24" s="2"/>
      <x:c r="H24" s="2"/>
      <x:c r="I24" s="2"/>
      <x:c r="J24" s="2"/>
      <x:c r="K24" s="2"/>
      <x:c r="L24" s="2"/>
    </x:row>
    <x:row r="25" ht="22" customHeight="1">
      <x:c r="A25" s="2"/>
      <x:c r="B25" s="2" t="str">
        <x:v>Input-to-battery efficiency</x:v>
      </x:c>
      <x:c r="C25" s="13" t="n">
        <x:v>0.8</x:v>
      </x:c>
      <x:c r="D25" s="13" t="n">
        <x:v>0.9</x:v>
      </x:c>
      <x:c r="E25" s="13" t="n">
        <x:v>0.9</x:v>
      </x:c>
      <x:c r="F25" s="2"/>
      <x:c r="G25" s="2"/>
      <x:c r="H25" s="2"/>
      <x:c r="I25" s="2"/>
      <x:c r="J25" s="2"/>
      <x:c r="K25" s="2"/>
      <x:c r="L25" s="2"/>
    </x:row>
    <x:row r="26" ht="22" customHeight="1">
      <x:c r="A26" s="2"/>
      <x:c r="B26" s="2" t="str">
        <x:v>Stored-charge retention</x:v>
      </x:c>
      <x:c r="C26" s="13" t="n">
        <x:v>0.95</x:v>
      </x:c>
      <x:c r="D26" s="13" t="n">
        <x:v>0.95</x:v>
      </x:c>
      <x:c r="E26" s="13" t="n">
        <x:v>0.95</x:v>
      </x:c>
      <x:c r="F26" s="2"/>
      <x:c r="G26" s="2"/>
      <x:c r="H26" s="2"/>
      <x:c r="I26" s="2"/>
      <x:c r="J26" s="2"/>
      <x:c r="K26" s="2"/>
      <x:c r="L26" s="2"/>
    </x:row>
    <x:row r="27" ht="22" customHeight="1">
      <x:c r="A27" s="2"/>
      <x:c r="B27" s="2" t="str">
        <x:v>Time multiplier for taper</x:v>
      </x:c>
      <x:c r="C27" s="20" t="n">
        <x:v>1.2</x:v>
      </x:c>
      <x:c r="D27" s="20" t="n">
        <x:v>1.2</x:v>
      </x:c>
      <x:c r="E27" s="20" t="n">
        <x:v>1.2</x:v>
      </x:c>
      <x:c r="F27" s="2"/>
      <x:c r="G27" s="2"/>
      <x:c r="H27" s="2"/>
      <x:c r="I27" s="2"/>
      <x:c r="J27" s="2"/>
      <x:c r="K27" s="2"/>
      <x:c r="L27" s="2"/>
    </x:row>
    <x:row r="28" ht="22" customHeight="1">
      <x:c r="A28" s="2"/>
      <x:c r="B28" s="2" t="str">
        <x:v>Concurrent draw at battery rail, W</x:v>
      </x:c>
      <x:c r="C28" s="20" t="n">
        <x:v>0</x:v>
      </x:c>
      <x:c r="D28" s="20" t="n">
        <x:v>0</x:v>
      </x:c>
      <x:c r="E28" s="20" t="n">
        <x:v>0</x:v>
      </x:c>
      <x:c r="F28" s="2"/>
      <x:c r="G28" s="2"/>
      <x:c r="H28" s="2"/>
      <x:c r="I28" s="2"/>
      <x:c r="J28" s="2"/>
      <x:c r="K28" s="2"/>
      <x:c r="L28" s="2"/>
    </x:row>
    <x:row r="29" ht="22" customHeight="1">
      <x:c r="A29" s="2"/>
      <x:c r="B29" s="2" t="str">
        <x:v>Input energy price, $/kWh</x:v>
      </x:c>
      <x:c r="C29" s="20" t="n">
        <x:v>0</x:v>
      </x:c>
      <x:c r="D29" s="20" t="n">
        <x:v>0</x:v>
      </x:c>
      <x:c r="E29" s="20" t="n">
        <x:v>0</x:v>
      </x:c>
      <x:c r="F29" s="2"/>
      <x:c r="G29" s="2"/>
      <x:c r="H29" s="2"/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10" t="str">
        <x:v>Charging energy and bottlenecks</x:v>
      </x:c>
      <x:c r="C31" s="10"/>
      <x:c r="D31" s="10"/>
      <x:c r="E31" s="10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"/>
      <x:c r="B33" s="2" t="str">
        <x:v>Inputs</x:v>
      </x:c>
      <x:c r="C33" s="2" t="str">
        <x:f>IF(AND(COUNT(C20:C29)=10,MIN(C20:C26)&gt;0,MAX(C25:C26)&lt;=1,C27&gt;=1,C28&gt;=0,$E$14&gt;=$C$14,$E$14&lt;=1,$C$14&gt;=0,ISNUMBER($C$15),ISNUMBER($E$15)),"Ready","Inputs needed")</x:f>
        <x:v>Ready</x:v>
      </x:c>
      <x:c r="D33" s="2" t="str">
        <x:f>IF(AND(COUNT(D20:D29)=10,MIN(D20:D26)&gt;0,MAX(D25:D26)&lt;=1,D27&gt;=1,D28&gt;=0,$E$14&gt;=$C$14,$E$14&lt;=1,$C$14&gt;=0,ISNUMBER($C$15),ISNUMBER($E$15)),"Ready","Inputs needed")</x:f>
        <x:v>Ready</x:v>
      </x:c>
      <x:c r="E33" s="2" t="str">
        <x:f>IF(AND(COUNT(E20:E29)=10,MIN(E20:E26)&gt;0,MAX(E25:E26)&lt;=1,E27&gt;=1,E28&gt;=0,$E$14&gt;=$C$14,$E$14&lt;=1,$C$14&gt;=0,ISNUMBER($C$15),ISNUMBER($E$15)),"Ready","Inputs needed")</x:f>
        <x:v>Ready</x:v>
      </x:c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2" t="str">
        <x:v>Required stored pack energy, Wh</x:v>
      </x:c>
      <x:c r="C34" s="16" t="n">
        <x:f>IF(C33="Ready",$C$15*$C$16*($E$14-$C$14),"Inputs needed")</x:f>
        <x:v>58.752</x:v>
      </x:c>
      <x:c r="D34" s="16" t="n">
        <x:f>IF(D33="Ready",$C$15*$C$16*($E$14-$C$14),"Inputs needed")</x:f>
        <x:v>58.752</x:v>
      </x:c>
      <x:c r="E34" s="16" t="n">
        <x:f>IF(E33="Ready",$C$15*$C$16*($E$14-$C$14),"Inputs needed")</x:f>
        <x:v>58.752</x:v>
      </x:c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 t="str">
        <x:v>Available input power, W</x:v>
      </x:c>
      <x:c r="C35" s="16" t="n">
        <x:f>IF(C33="Ready",C20*C21,"Inputs needed")</x:f>
        <x:v>10</x:v>
      </x:c>
      <x:c r="D35" s="16" t="n">
        <x:f>IF(D33="Ready",D20*D21,"Inputs needed")</x:f>
        <x:v>27</x:v>
      </x:c>
      <x:c r="E35" s="16" t="n">
        <x:f>IF(E33="Ready",E20*E21,"Inputs needed")</x:f>
        <x:v>36</x:v>
      </x:c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 t="str">
        <x:v>Battery-side power ceiling, W</x:v>
      </x:c>
      <x:c r="C36" s="16" t="n">
        <x:f>IF(C33="Ready",MIN(C35*C25,C22*$E$15*C24,C23*$E$15*C24),"Inputs needed")</x:f>
        <x:v>4.2</x:v>
      </x:c>
      <x:c r="D36" s="16" t="n">
        <x:f>IF(D33="Ready",MIN(D35*D25,D22*$E$15*D24,D23*$E$15*D24),"Inputs needed")</x:f>
        <x:v>8.4</x:v>
      </x:c>
      <x:c r="E36" s="16" t="n">
        <x:f>IF(E33="Ready",MIN(E35*E25,E22*$E$15*E24,E23*$E$15*E24),"Inputs needed")</x:f>
        <x:v>16.8</x:v>
      </x:c>
      <x:c r="F36" s="2"/>
      <x:c r="G36" s="2"/>
      <x:c r="H36" s="2"/>
      <x:c r="I36" s="2"/>
      <x:c r="J36" s="2"/>
      <x:c r="K36" s="2"/>
      <x:c r="L36" s="2"/>
    </x:row>
    <x:row r="37" ht="22" customHeight="1">
      <x:c r="A37" s="2"/>
      <x:c r="B37" s="2" t="str">
        <x:v>Effective gross battery charge, A</x:v>
      </x:c>
      <x:c r="C37" s="16" t="n">
        <x:f>IF(C33="Ready",C36/($E$15*C24),"Inputs needed")</x:f>
        <x:v>1</x:v>
      </x:c>
      <x:c r="D37" s="16" t="n">
        <x:f>IF(D33="Ready",D36/($E$15*D24),"Inputs needed")</x:f>
        <x:v>2</x:v>
      </x:c>
      <x:c r="E37" s="16" t="n">
        <x:f>IF(E33="Ready",E36/($E$15*E24),"Inputs needed")</x:f>
        <x:v>4</x:v>
      </x:c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 t="str">
        <x:v>Net charging at nominal pack V, W</x:v>
      </x:c>
      <x:c r="C38" s="16" t="n">
        <x:f>IF(C33="Ready",C37*$E$16-C28,"Inputs needed")</x:f>
        <x:v>3.6</x:v>
      </x:c>
      <x:c r="D38" s="16" t="n">
        <x:f>IF(D33="Ready",D37*$E$16-D28,"Inputs needed")</x:f>
        <x:v>7.2</x:v>
      </x:c>
      <x:c r="E38" s="16" t="n">
        <x:f>IF(E33="Ready",E37*$E$16-E28,"Inputs needed")</x:f>
        <x:v>14.4</x:v>
      </x:c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 t="str">
        <x:v>Stored charging power, W</x:v>
      </x:c>
      <x:c r="C39" s="16" t="n">
        <x:f>IF(C33="Ready",IF(C38&gt;0,C38*C26,0),"Inputs needed")</x:f>
        <x:v>3.42</x:v>
      </x:c>
      <x:c r="D39" s="16" t="n">
        <x:f>IF(D33="Ready",IF(D38&gt;0,D38*D26,0),"Inputs needed")</x:f>
        <x:v>6.84</x:v>
      </x:c>
      <x:c r="E39" s="16" t="n">
        <x:f>IF(E33="Ready",IF(E38&gt;0,E38*E26,0),"Inputs needed")</x:f>
        <x:v>13.68</x:v>
      </x:c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 t="str">
        <x:v>Charging time incl taper, hours</x:v>
      </x:c>
      <x:c r="C40" s="16" t="n">
        <x:f>IF(C33="Ready",IF(C34=0,0,IF(C39=0,"Load exceeds charge",C34/C39*C27)),"Inputs needed")</x:f>
        <x:v>20.614736842105263</x:v>
      </x:c>
      <x:c r="D40" s="16" t="n">
        <x:f>IF(D33="Ready",IF(D34=0,0,IF(D39=0,"Load exceeds charge",D34/D39*D27)),"Inputs needed")</x:f>
        <x:v>10.307368421052631</x:v>
      </x:c>
      <x:c r="E40" s="16" t="n">
        <x:f>IF(E33="Ready",IF(E34=0,0,IF(E39=0,"Load exceeds charge",E34/E39*E27)),"Inputs needed")</x:f>
        <x:v>5.153684210526316</x:v>
      </x:c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 t="str">
        <x:v>Input energy incl concurrent draw, Wh</x:v>
      </x:c>
      <x:c r="C41" s="16" t="n">
        <x:f>IF(C33="Ready",IF(ISNUMBER(C40),IF(C34=0,0,(C34/C26+C28*C40)/C25),C40),"Inputs needed")</x:f>
        <x:v>77.30526315789474</x:v>
      </x:c>
      <x:c r="D41" s="16" t="n">
        <x:f>IF(D33="Ready",IF(ISNUMBER(D40),IF(D34=0,0,(D34/D26+D28*D40)/D25),D40),"Inputs needed")</x:f>
        <x:v>68.71578947368423</x:v>
      </x:c>
      <x:c r="E41" s="16" t="n">
        <x:f>IF(E33="Ready",IF(ISNUMBER(E40),IF(E34=0,0,(E34/E26+E28*E40)/E25),E40),"Inputs needed")</x:f>
        <x:v>68.71578947368423</x:v>
      </x:c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 t="str">
        <x:v>Input energy cost, $</x:v>
      </x:c>
      <x:c r="C42" s="16" t="n">
        <x:f>IF(C33="Ready",IF(ISNUMBER(C41),C41/1000*C29,C41),"Inputs needed")</x:f>
        <x:v>0</x:v>
      </x:c>
      <x:c r="D42" s="16" t="n">
        <x:f>IF(D33="Ready",IF(ISNUMBER(D41),D41/1000*D29,D41),"Inputs needed")</x:f>
        <x:v>0</x:v>
      </x:c>
      <x:c r="E42" s="16" t="n">
        <x:f>IF(E33="Ready",IF(ISNUMBER(E41),E41/1000*E29,E41),"Inputs needed")</x:f>
        <x:v>0</x:v>
      </x:c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 t="str">
        <x:v>Limiting input / charger / pack</x:v>
      </x:c>
      <x:c r="C43" s="16" t="str">
        <x:f>IF(C33="Ready",IF(C35*C25&lt;=MIN(C22,C23)*$E$15*C24,"Input power",IF(C22&lt;=C23,"Charger setting","Pack-path limit")),"Inputs needed")</x:f>
        <x:v>Charger setting</x:v>
      </x:c>
      <x:c r="D43" s="16" t="str">
        <x:f>IF(D33="Ready",IF(D35*D25&lt;=MIN(D22,D23)*$E$15*D24,"Input power",IF(D22&lt;=D23,"Charger setting","Pack-path limit")),"Inputs needed")</x:f>
        <x:v>Charger setting</x:v>
      </x:c>
      <x:c r="E43" s="16" t="str">
        <x:f>IF(E33="Ready",IF(E35*E25&lt;=MIN(E22,E23)*$E$15*E24,"Input power",IF(E22&lt;=E23,"Charger setting","Pack-path limit")),"Inputs needed")</x:f>
        <x:v>Charger setting</x:v>
      </x:c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 t="str">
        <x:v>Modeled peak conversion loss, W</x:v>
      </x:c>
      <x:c r="C44" s="16" t="n">
        <x:f>IF(C33="Ready",C36*(1/C25-1),"Inputs needed")</x:f>
        <x:v>1.05</x:v>
      </x:c>
      <x:c r="D44" s="16" t="n">
        <x:f>IF(D33="Ready",D36*(1/D25-1),"Inputs needed")</x:f>
        <x:v>0.9333333333333338</x:v>
      </x:c>
      <x:c r="E44" s="16" t="n">
        <x:f>IF(E33="Ready",E36*(1/E25-1),"Inputs needed")</x:f>
        <x:v>1.8666666666666676</x:v>
      </x:c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 t="str">
        <x:v>Days at useful charge hours / day</x:v>
      </x:c>
      <x:c r="C45" s="16" t="n">
        <x:f>IF(C33="Ready",IF(ISNUMBER(C40),IF($C$17=0,"No charge hours",C40/$C$17),C40),"Inputs needed")</x:f>
        <x:v>5.153684210526316</x:v>
      </x:c>
      <x:c r="D45" s="16" t="n">
        <x:f>IF(D33="Ready",IF(ISNUMBER(D40),IF($C$17=0,"No charge hours",D40/$C$17),D40),"Inputs needed")</x:f>
        <x:v>2.576842105263158</x:v>
      </x:c>
      <x:c r="E45" s="16" t="n">
        <x:f>IF(E33="Ready",IF(ISNUMBER(E40),IF($C$17=0,"No charge hours",E40/$C$17),E40),"Inputs needed")</x:f>
        <x:v>1.288421052631579</x:v>
      </x:c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4" t="str">
        <x:v>Current is limited at charge-end voltage. Time uses nominal pack voltage, charge retention and taper.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2" customHeight="1">
      <x:c r="A49" s="2"/>
      <x:c r="B49" s="4" t="str">
        <x:v>Input Wh estimates stored energy plus concurrent load and conversion loss; taper alone does not multiply stored Wh.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4" t="str">
        <x:v>4 A is a comparison assumption, not an approved pack setting. Verify cells, topology, temperature and protection.</x:v>
      </x:c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4" t="str">
        <x:v>PD negotiation, cable rating, charger topology and pass-through compatibility are separate hardware requirements.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conditionalFormatting sqref="C33:E44">
    <x:cfRule type="containsText" dxfId="6" priority="1" operator="containsText" text="needed"/>
    <x:cfRule type="containsText" dxfId="7" priority="2" operator="containsText" text="Deficit"/>
  </x:conditionalFormatting>
  <x:dataValidations count="16">
    <x:dataValidation type="list" sqref="C4">
      <x:formula1>"4-cell example,8-cell example"</x:formula1>
    </x:dataValidation>
    <x:dataValidation type="decimal" operator="between" sqref="C17">
      <x:formula1>0</x:formula1>
      <x:formula2>24</x:formula2>
    </x:dataValidation>
    <x:dataValidation type="decimal" operator="between" sqref="C20:C24">
      <x:formula1>0.01</x:formula1>
      <x:formula2>100</x:formula2>
    </x:dataValidation>
    <x:dataValidation type="decimal" operator="between" sqref="C25:C26">
      <x:formula1>0.01</x:formula1>
      <x:formula2>1</x:formula2>
    </x:dataValidation>
    <x:dataValidation type="decimal" operator="between" sqref="C27">
      <x:formula1>1</x:formula1>
      <x:formula2>3</x:formula2>
    </x:dataValidation>
    <x:dataValidation type="decimal" operator="between" sqref="C28:C29">
      <x:formula1>0</x:formula1>
      <x:formula2>1000</x:formula2>
    </x:dataValidation>
    <x:dataValidation type="decimal" operator="between" sqref="D20:D24">
      <x:formula1>0.01</x:formula1>
      <x:formula2>100</x:formula2>
    </x:dataValidation>
    <x:dataValidation type="decimal" operator="between" sqref="D25:D26">
      <x:formula1>0.01</x:formula1>
      <x:formula2>1</x:formula2>
    </x:dataValidation>
    <x:dataValidation type="decimal" operator="between" sqref="D27">
      <x:formula1>1</x:formula1>
      <x:formula2>3</x:formula2>
    </x:dataValidation>
    <x:dataValidation type="decimal" operator="between" sqref="D28:D29">
      <x:formula1>0</x:formula1>
      <x:formula2>1000</x:formula2>
    </x:dataValidation>
    <x:dataValidation type="decimal" operator="between" sqref="E20:E24">
      <x:formula1>0.01</x:formula1>
      <x:formula2>100</x:formula2>
    </x:dataValidation>
    <x:dataValidation type="decimal" operator="between" sqref="E25:E26">
      <x:formula1>0.01</x:formula1>
      <x:formula2>1</x:formula2>
    </x:dataValidation>
    <x:dataValidation type="decimal" operator="between" sqref="E27">
      <x:formula1>1</x:formula1>
      <x:formula2>3</x:formula2>
    </x:dataValidation>
    <x:dataValidation type="decimal" operator="between" sqref="E28:E29">
      <x:formula1>0</x:formula1>
      <x:formula2>1000</x:formula2>
    </x:dataValidation>
    <x:dataValidation type="decimal" operator="between" sqref="C14">
      <x:formula1>0</x:formula1>
      <x:formula2>1</x:formula2>
    </x:dataValidation>
    <x:dataValidation type="decimal" operator="between" sqref="E14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Sunlight, current and autonomy sizing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 t="str">
        <x:v>Live formulas use Fleet charge retention. Net charge is current entering the battery while the node runs.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 t="str">
        <x:v>Retention</x:v>
      </x:c>
      <x:c r="C4" s="21" t="n">
        <x:f>'Fleet'!F16</x:f>
        <x:v>0.9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8" t="str">
        <x:v>Battery load, mA</x:v>
      </x:c>
      <x:c r="C6" s="8" t="str">
        <x:v>2 sun h</x:v>
      </x:c>
      <x:c r="D6" s="8" t="str">
        <x:v>3 sun h</x:v>
      </x:c>
      <x:c r="E6" s="8" t="str">
        <x:v>4 sun h</x:v>
      </x:c>
      <x:c r="F6" s="8" t="str">
        <x:v>5 sun h</x:v>
      </x:c>
      <x:c r="G6" s="8" t="str">
        <x:v>6 sun h</x:v>
      </x:c>
      <x:c r="H6" s="8" t="str">
        <x:v>8 sun h</x:v>
      </x:c>
      <x:c r="I6" s="8" t="str">
        <x:v>10 sun h</x:v>
      </x:c>
      <x:c r="J6" s="2"/>
      <x:c r="K6" s="2"/>
      <x:c r="L6" s="2"/>
    </x:row>
    <x:row r="7" ht="22" customHeight="1">
      <x:c r="A7" s="2"/>
      <x:c r="B7" s="2"/>
      <x:c r="C7" s="9" t="n">
        <x:v>2</x:v>
      </x:c>
      <x:c r="D7" s="9" t="n">
        <x:v>3</x:v>
      </x:c>
      <x:c r="E7" s="9" t="n">
        <x:v>4</x:v>
      </x:c>
      <x:c r="F7" s="9" t="n">
        <x:v>5</x:v>
      </x:c>
      <x:c r="G7" s="9" t="n">
        <x:v>6</x:v>
      </x:c>
      <x:c r="H7" s="9" t="n">
        <x:v>8</x:v>
      </x:c>
      <x:c r="I7" s="9" t="n">
        <x:v>10</x:v>
      </x:c>
      <x:c r="J7" s="2"/>
      <x:c r="K7" s="2"/>
      <x:c r="L7" s="2"/>
    </x:row>
    <x:row r="8" ht="22" customHeight="1">
      <x:c r="A8" s="2"/>
      <x:c r="B8" s="15" t="n">
        <x:v>10</x:v>
      </x:c>
      <x:c r="C8" s="18" t="n">
        <x:f>$B8*(24-C$7)/(C$7*$C$4)</x:f>
        <x:v>122.22222222222221</x:v>
      </x:c>
      <x:c r="D8" s="18" t="n">
        <x:f>$B8*(24-D$7)/(D$7*$C$4)</x:f>
        <x:v>77.77777777777777</x:v>
      </x:c>
      <x:c r="E8" s="18" t="n">
        <x:f>$B8*(24-E$7)/(E$7*$C$4)</x:f>
        <x:v>55.55555555555556</x:v>
      </x:c>
      <x:c r="F8" s="18" t="n">
        <x:f>$B8*(24-F$7)/(F$7*$C$4)</x:f>
        <x:v>42.22222222222222</x:v>
      </x:c>
      <x:c r="G8" s="18" t="n">
        <x:f>$B8*(24-G$7)/(G$7*$C$4)</x:f>
        <x:v>33.33333333333333</x:v>
      </x:c>
      <x:c r="H8" s="18" t="n">
        <x:f>$B8*(24-H$7)/(H$7*$C$4)</x:f>
        <x:v>22.22222222222222</x:v>
      </x:c>
      <x:c r="I8" s="18" t="n">
        <x:f>$B8*(24-I$7)/(I$7*$C$4)</x:f>
        <x:v>15.555555555555555</x:v>
      </x:c>
      <x:c r="J8" s="2"/>
      <x:c r="K8" s="2"/>
      <x:c r="L8" s="2"/>
    </x:row>
    <x:row r="9" ht="22" customHeight="1">
      <x:c r="A9" s="2"/>
      <x:c r="B9" s="15" t="n">
        <x:v>20</x:v>
      </x:c>
      <x:c r="C9" s="18" t="n">
        <x:f>$B9*(24-C$7)/(C$7*$C$4)</x:f>
        <x:v>244.44444444444443</x:v>
      </x:c>
      <x:c r="D9" s="18" t="n">
        <x:f>$B9*(24-D$7)/(D$7*$C$4)</x:f>
        <x:v>155.55555555555554</x:v>
      </x:c>
      <x:c r="E9" s="18" t="n">
        <x:f>$B9*(24-E$7)/(E$7*$C$4)</x:f>
        <x:v>111.11111111111111</x:v>
      </x:c>
      <x:c r="F9" s="18" t="n">
        <x:f>$B9*(24-F$7)/(F$7*$C$4)</x:f>
        <x:v>84.44444444444444</x:v>
      </x:c>
      <x:c r="G9" s="18" t="n">
        <x:f>$B9*(24-G$7)/(G$7*$C$4)</x:f>
        <x:v>66.66666666666666</x:v>
      </x:c>
      <x:c r="H9" s="18" t="n">
        <x:f>$B9*(24-H$7)/(H$7*$C$4)</x:f>
        <x:v>44.44444444444444</x:v>
      </x:c>
      <x:c r="I9" s="18" t="n">
        <x:f>$B9*(24-I$7)/(I$7*$C$4)</x:f>
        <x:v>31.11111111111111</x:v>
      </x:c>
      <x:c r="J9" s="2"/>
      <x:c r="K9" s="2"/>
      <x:c r="L9" s="2"/>
    </x:row>
    <x:row r="10" ht="22" customHeight="1">
      <x:c r="A10" s="2"/>
      <x:c r="B10" s="15" t="n">
        <x:v>30</x:v>
      </x:c>
      <x:c r="C10" s="18" t="n">
        <x:f>$B10*(24-C$7)/(C$7*$C$4)</x:f>
        <x:v>366.6666666666667</x:v>
      </x:c>
      <x:c r="D10" s="18" t="n">
        <x:f>$B10*(24-D$7)/(D$7*$C$4)</x:f>
        <x:v>233.33333333333331</x:v>
      </x:c>
      <x:c r="E10" s="18" t="n">
        <x:f>$B10*(24-E$7)/(E$7*$C$4)</x:f>
        <x:v>166.66666666666666</x:v>
      </x:c>
      <x:c r="F10" s="18" t="n">
        <x:f>$B10*(24-F$7)/(F$7*$C$4)</x:f>
        <x:v>126.66666666666667</x:v>
      </x:c>
      <x:c r="G10" s="18" t="n">
        <x:f>$B10*(24-G$7)/(G$7*$C$4)</x:f>
        <x:v>100</x:v>
      </x:c>
      <x:c r="H10" s="18" t="n">
        <x:f>$B10*(24-H$7)/(H$7*$C$4)</x:f>
        <x:v>66.66666666666667</x:v>
      </x:c>
      <x:c r="I10" s="18" t="n">
        <x:f>$B10*(24-I$7)/(I$7*$C$4)</x:f>
        <x:v>46.666666666666664</x:v>
      </x:c>
      <x:c r="J10" s="2"/>
      <x:c r="K10" s="2"/>
      <x:c r="L10" s="2"/>
    </x:row>
    <x:row r="11" ht="22" customHeight="1">
      <x:c r="A11" s="2"/>
      <x:c r="B11" s="15" t="n">
        <x:v>80</x:v>
      </x:c>
      <x:c r="C11" s="18" t="n">
        <x:f>$B11*(24-C$7)/(C$7*$C$4)</x:f>
        <x:v>977.7777777777777</x:v>
      </x:c>
      <x:c r="D11" s="18" t="n">
        <x:f>$B11*(24-D$7)/(D$7*$C$4)</x:f>
        <x:v>622.2222222222222</x:v>
      </x:c>
      <x:c r="E11" s="18" t="n">
        <x:f>$B11*(24-E$7)/(E$7*$C$4)</x:f>
        <x:v>444.44444444444446</x:v>
      </x:c>
      <x:c r="F11" s="18" t="n">
        <x:f>$B11*(24-F$7)/(F$7*$C$4)</x:f>
        <x:v>337.77777777777777</x:v>
      </x:c>
      <x:c r="G11" s="18" t="n">
        <x:f>$B11*(24-G$7)/(G$7*$C$4)</x:f>
        <x:v>266.66666666666663</x:v>
      </x:c>
      <x:c r="H11" s="18" t="n">
        <x:f>$B11*(24-H$7)/(H$7*$C$4)</x:f>
        <x:v>177.77777777777777</x:v>
      </x:c>
      <x:c r="I11" s="18" t="n">
        <x:f>$B11*(24-I$7)/(I$7*$C$4)</x:f>
        <x:v>124.44444444444444</x:v>
      </x:c>
      <x:c r="J11" s="2"/>
      <x:c r="K11" s="2"/>
      <x:c r="L11" s="2"/>
    </x:row>
    <x:row r="12" ht="22" customHeight="1">
      <x:c r="A12" s="2"/>
      <x:c r="B12" s="15" t="n">
        <x:v>155</x:v>
      </x:c>
      <x:c r="C12" s="18" t="n">
        <x:f>$B12*(24-C$7)/(C$7*$C$4)</x:f>
        <x:v>1894.4444444444443</x:v>
      </x:c>
      <x:c r="D12" s="18" t="n">
        <x:f>$B12*(24-D$7)/(D$7*$C$4)</x:f>
        <x:v>1205.5555555555554</x:v>
      </x:c>
      <x:c r="E12" s="18" t="n">
        <x:f>$B12*(24-E$7)/(E$7*$C$4)</x:f>
        <x:v>861.1111111111111</x:v>
      </x:c>
      <x:c r="F12" s="18" t="n">
        <x:f>$B12*(24-F$7)/(F$7*$C$4)</x:f>
        <x:v>654.4444444444445</x:v>
      </x:c>
      <x:c r="G12" s="18" t="n">
        <x:f>$B12*(24-G$7)/(G$7*$C$4)</x:f>
        <x:v>516.6666666666666</x:v>
      </x:c>
      <x:c r="H12" s="18" t="n">
        <x:f>$B12*(24-H$7)/(H$7*$C$4)</x:f>
        <x:v>344.44444444444446</x:v>
      </x:c>
      <x:c r="I12" s="18" t="n">
        <x:f>$B12*(24-I$7)/(I$7*$C$4)</x:f>
        <x:v>241.11111111111111</x:v>
      </x:c>
      <x:c r="J12" s="2"/>
      <x:c r="K12" s="2"/>
      <x:c r="L12" s="2"/>
    </x:row>
    <x:row r="13" ht="22" customHeight="1">
      <x:c r="A13" s="2"/>
      <x:c r="B13" s="15" t="n">
        <x:v>160</x:v>
      </x:c>
      <x:c r="C13" s="18" t="n">
        <x:f>$B13*(24-C$7)/(C$7*$C$4)</x:f>
        <x:v>1955.5555555555554</x:v>
      </x:c>
      <x:c r="D13" s="18" t="n">
        <x:f>$B13*(24-D$7)/(D$7*$C$4)</x:f>
        <x:v>1244.4444444444443</x:v>
      </x:c>
      <x:c r="E13" s="18" t="n">
        <x:f>$B13*(24-E$7)/(E$7*$C$4)</x:f>
        <x:v>888.8888888888889</x:v>
      </x:c>
      <x:c r="F13" s="18" t="n">
        <x:f>$B13*(24-F$7)/(F$7*$C$4)</x:f>
        <x:v>675.5555555555555</x:v>
      </x:c>
      <x:c r="G13" s="18" t="n">
        <x:f>$B13*(24-G$7)/(G$7*$C$4)</x:f>
        <x:v>533.3333333333333</x:v>
      </x:c>
      <x:c r="H13" s="18" t="n">
        <x:f>$B13*(24-H$7)/(H$7*$C$4)</x:f>
        <x:v>355.55555555555554</x:v>
      </x:c>
      <x:c r="I13" s="18" t="n">
        <x:f>$B13*(24-I$7)/(I$7*$C$4)</x:f>
        <x:v>248.88888888888889</x:v>
      </x:c>
      <x:c r="J13" s="2"/>
      <x:c r="K13" s="2"/>
      <x:c r="L13" s="2"/>
    </x:row>
    <x:row r="14" ht="22" customHeight="1">
      <x:c r="A14" s="2"/>
      <x:c r="B14" s="15" t="n">
        <x:v>200</x:v>
      </x:c>
      <x:c r="C14" s="18" t="n">
        <x:f>$B14*(24-C$7)/(C$7*$C$4)</x:f>
        <x:v>2444.4444444444443</x:v>
      </x:c>
      <x:c r="D14" s="18" t="n">
        <x:f>$B14*(24-D$7)/(D$7*$C$4)</x:f>
        <x:v>1555.5555555555554</x:v>
      </x:c>
      <x:c r="E14" s="18" t="n">
        <x:f>$B14*(24-E$7)/(E$7*$C$4)</x:f>
        <x:v>1111.111111111111</x:v>
      </x:c>
      <x:c r="F14" s="18" t="n">
        <x:f>$B14*(24-F$7)/(F$7*$C$4)</x:f>
        <x:v>844.4444444444445</x:v>
      </x:c>
      <x:c r="G14" s="18" t="n">
        <x:f>$B14*(24-G$7)/(G$7*$C$4)</x:f>
        <x:v>666.6666666666666</x:v>
      </x:c>
      <x:c r="H14" s="18" t="n">
        <x:f>$B14*(24-H$7)/(H$7*$C$4)</x:f>
        <x:v>444.44444444444446</x:v>
      </x:c>
      <x:c r="I14" s="18" t="n">
        <x:f>$B14*(24-I$7)/(I$7*$C$4)</x:f>
        <x:v>311.1111111111111</x:v>
      </x:c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4" t="str">
        <x:v>Table values are minimum net battery charging, mA. Higher charging extends recovery margin.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34" customHeight="1">
      <x:c r="A19" s="2"/>
      <x:c r="B19" s="8" t="str">
        <x:v>Battery load, mA</x:v>
      </x:c>
      <x:c r="C19" s="8" t="str">
        <x:v>100 net mA</x:v>
      </x:c>
      <x:c r="D19" s="8" t="str">
        <x:v>160 net mA</x:v>
      </x:c>
      <x:c r="E19" s="8" t="str">
        <x:v>250 net mA</x:v>
      </x:c>
      <x:c r="F19" s="8" t="str">
        <x:v>350 net mA</x:v>
      </x:c>
      <x:c r="G19" s="8" t="str">
        <x:v>500 net mA</x:v>
      </x:c>
      <x:c r="H19" s="8" t="str">
        <x:v>750 net mA</x:v>
      </x:c>
      <x:c r="I19" s="8" t="str">
        <x:v>1000 net mA</x:v>
      </x:c>
      <x:c r="J19" s="8" t="str">
        <x:v>1500 net mA</x:v>
      </x:c>
      <x:c r="K19" s="2"/>
      <x:c r="L19" s="2"/>
    </x:row>
    <x:row r="20" ht="22" customHeight="1">
      <x:c r="A20" s="2"/>
      <x:c r="B20" s="2"/>
      <x:c r="C20" s="9" t="n">
        <x:v>100</x:v>
      </x:c>
      <x:c r="D20" s="9" t="n">
        <x:v>160</x:v>
      </x:c>
      <x:c r="E20" s="9" t="n">
        <x:v>250</x:v>
      </x:c>
      <x:c r="F20" s="9" t="n">
        <x:v>350</x:v>
      </x:c>
      <x:c r="G20" s="9" t="n">
        <x:v>500</x:v>
      </x:c>
      <x:c r="H20" s="9" t="n">
        <x:v>750</x:v>
      </x:c>
      <x:c r="I20" s="9" t="n">
        <x:v>1000</x:v>
      </x:c>
      <x:c r="J20" s="9" t="n">
        <x:v>1500</x:v>
      </x:c>
      <x:c r="K20" s="2"/>
      <x:c r="L20" s="2"/>
    </x:row>
    <x:row r="21" ht="22" customHeight="1">
      <x:c r="A21" s="2"/>
      <x:c r="B21" s="2" t="n">
        <x:f>B8</x:f>
        <x:v>10</x:v>
      </x:c>
      <x:c r="C21" s="16" t="n">
        <x:f>24*$B21/($B21+$C$4*C$20)</x:f>
        <x:v>2.4</x:v>
      </x:c>
      <x:c r="D21" s="16" t="n">
        <x:f>24*$B21/($B21+$C$4*D$20)</x:f>
        <x:v>1.5584415584415585</x:v>
      </x:c>
      <x:c r="E21" s="16" t="n">
        <x:f>24*$B21/($B21+$C$4*E$20)</x:f>
        <x:v>1.0212765957446808</x:v>
      </x:c>
      <x:c r="F21" s="16" t="n">
        <x:f>24*$B21/($B21+$C$4*F$20)</x:f>
        <x:v>0.7384615384615385</x:v>
      </x:c>
      <x:c r="G21" s="16" t="n">
        <x:f>24*$B21/($B21+$C$4*G$20)</x:f>
        <x:v>0.5217391304347826</x:v>
      </x:c>
      <x:c r="H21" s="16" t="n">
        <x:f>24*$B21/($B21+$C$4*H$20)</x:f>
        <x:v>0.35036496350364965</x:v>
      </x:c>
      <x:c r="I21" s="16" t="n">
        <x:f>24*$B21/($B21+$C$4*I$20)</x:f>
        <x:v>0.26373626373626374</x:v>
      </x:c>
      <x:c r="J21" s="16" t="n">
        <x:f>24*$B21/($B21+$C$4*J$20)</x:f>
        <x:v>0.17647058823529413</x:v>
      </x:c>
      <x:c r="K21" s="2"/>
      <x:c r="L21" s="2"/>
    </x:row>
    <x:row r="22" ht="22" customHeight="1">
      <x:c r="A22" s="2"/>
      <x:c r="B22" s="2" t="n">
        <x:f>B9</x:f>
        <x:v>20</x:v>
      </x:c>
      <x:c r="C22" s="16" t="n">
        <x:f>24*$B22/($B22+$C$4*C$20)</x:f>
        <x:v>4.363636363636363</x:v>
      </x:c>
      <x:c r="D22" s="16" t="n">
        <x:f>24*$B22/($B22+$C$4*D$20)</x:f>
        <x:v>2.926829268292683</x:v>
      </x:c>
      <x:c r="E22" s="16" t="n">
        <x:f>24*$B22/($B22+$C$4*E$20)</x:f>
        <x:v>1.9591836734693877</x:v>
      </x:c>
      <x:c r="F22" s="16" t="n">
        <x:f>24*$B22/($B22+$C$4*F$20)</x:f>
        <x:v>1.4328358208955223</x:v>
      </x:c>
      <x:c r="G22" s="16" t="n">
        <x:f>24*$B22/($B22+$C$4*G$20)</x:f>
        <x:v>1.0212765957446808</x:v>
      </x:c>
      <x:c r="H22" s="16" t="n">
        <x:f>24*$B22/($B22+$C$4*H$20)</x:f>
        <x:v>0.6906474820143885</x:v>
      </x:c>
      <x:c r="I22" s="16" t="n">
        <x:f>24*$B22/($B22+$C$4*I$20)</x:f>
        <x:v>0.5217391304347826</x:v>
      </x:c>
      <x:c r="J22" s="16" t="n">
        <x:f>24*$B22/($B22+$C$4*J$20)</x:f>
        <x:v>0.35036496350364965</x:v>
      </x:c>
      <x:c r="K22" s="2"/>
      <x:c r="L22" s="2"/>
    </x:row>
    <x:row r="23" ht="22" customHeight="1">
      <x:c r="A23" s="2"/>
      <x:c r="B23" s="2" t="n">
        <x:f>B10</x:f>
        <x:v>30</x:v>
      </x:c>
      <x:c r="C23" s="16" t="n">
        <x:f>24*$B23/($B23+$C$4*C$20)</x:f>
        <x:v>6</x:v>
      </x:c>
      <x:c r="D23" s="16" t="n">
        <x:f>24*$B23/($B23+$C$4*D$20)</x:f>
        <x:v>4.137931034482759</x:v>
      </x:c>
      <x:c r="E23" s="16" t="n">
        <x:f>24*$B23/($B23+$C$4*E$20)</x:f>
        <x:v>2.823529411764706</x:v>
      </x:c>
      <x:c r="F23" s="16" t="n">
        <x:f>24*$B23/($B23+$C$4*F$20)</x:f>
        <x:v>2.0869565217391304</x:v>
      </x:c>
      <x:c r="G23" s="16" t="n">
        <x:f>24*$B23/($B23+$C$4*G$20)</x:f>
        <x:v>1.5</x:v>
      </x:c>
      <x:c r="H23" s="16" t="n">
        <x:f>24*$B23/($B23+$C$4*H$20)</x:f>
        <x:v>1.0212765957446808</x:v>
      </x:c>
      <x:c r="I23" s="16" t="n">
        <x:f>24*$B23/($B23+$C$4*I$20)</x:f>
        <x:v>0.7741935483870968</x:v>
      </x:c>
      <x:c r="J23" s="16" t="n">
        <x:f>24*$B23/($B23+$C$4*J$20)</x:f>
        <x:v>0.5217391304347826</x:v>
      </x:c>
      <x:c r="K23" s="2"/>
      <x:c r="L23" s="2"/>
    </x:row>
    <x:row r="24" ht="22" customHeight="1">
      <x:c r="A24" s="2"/>
      <x:c r="B24" s="2" t="n">
        <x:f>B11</x:f>
        <x:v>80</x:v>
      </x:c>
      <x:c r="C24" s="16" t="n">
        <x:f>24*$B24/($B24+$C$4*C$20)</x:f>
        <x:v>11.294117647058824</x:v>
      </x:c>
      <x:c r="D24" s="16" t="n">
        <x:f>24*$B24/($B24+$C$4*D$20)</x:f>
        <x:v>8.571428571428571</x:v>
      </x:c>
      <x:c r="E24" s="16" t="n">
        <x:f>24*$B24/($B24+$C$4*E$20)</x:f>
        <x:v>6.295081967213115</x:v>
      </x:c>
      <x:c r="F24" s="16" t="n">
        <x:f>24*$B24/($B24+$C$4*F$20)</x:f>
        <x:v>4.860759493670886</x:v>
      </x:c>
      <x:c r="G24" s="16" t="n">
        <x:f>24*$B24/($B24+$C$4*G$20)</x:f>
        <x:v>3.6226415094339623</x:v>
      </x:c>
      <x:c r="H24" s="16" t="n">
        <x:f>24*$B24/($B24+$C$4*H$20)</x:f>
        <x:v>2.543046357615894</x:v>
      </x:c>
      <x:c r="I24" s="16" t="n">
        <x:f>24*$B24/($B24+$C$4*I$20)</x:f>
        <x:v>1.9591836734693877</x:v>
      </x:c>
      <x:c r="J24" s="16" t="n">
        <x:f>24*$B24/($B24+$C$4*J$20)</x:f>
        <x:v>1.3426573426573427</x:v>
      </x:c>
      <x:c r="K24" s="2"/>
      <x:c r="L24" s="2"/>
    </x:row>
    <x:row r="25" ht="22" customHeight="1">
      <x:c r="A25" s="2"/>
      <x:c r="B25" s="2" t="n">
        <x:f>B12</x:f>
        <x:v>155</x:v>
      </x:c>
      <x:c r="C25" s="16" t="n">
        <x:f>24*$B25/($B25+$C$4*C$20)</x:f>
        <x:v>15.183673469387756</x:v>
      </x:c>
      <x:c r="D25" s="16" t="n">
        <x:f>24*$B25/($B25+$C$4*D$20)</x:f>
        <x:v>12.441471571906355</x:v>
      </x:c>
      <x:c r="E25" s="16" t="n">
        <x:f>24*$B25/($B25+$C$4*E$20)</x:f>
        <x:v>9.789473684210526</x:v>
      </x:c>
      <x:c r="F25" s="16" t="n">
        <x:f>24*$B25/($B25+$C$4*F$20)</x:f>
        <x:v>7.914893617021277</x:v>
      </x:c>
      <x:c r="G25" s="16" t="n">
        <x:f>24*$B25/($B25+$C$4*G$20)</x:f>
        <x:v>6.148760330578512</x:v>
      </x:c>
      <x:c r="H25" s="16" t="n">
        <x:f>24*$B25/($B25+$C$4*H$20)</x:f>
        <x:v>4.481927710843373</x:v>
      </x:c>
      <x:c r="I25" s="16" t="n">
        <x:f>24*$B25/($B25+$C$4*I$20)</x:f>
        <x:v>3.5260663507109005</x:v>
      </x:c>
      <x:c r="J25" s="16" t="n">
        <x:f>24*$B25/($B25+$C$4*J$20)</x:f>
        <x:v>2.471760797342193</x:v>
      </x:c>
      <x:c r="K25" s="2"/>
      <x:c r="L25" s="2"/>
    </x:row>
    <x:row r="26" ht="22" customHeight="1">
      <x:c r="A26" s="2"/>
      <x:c r="B26" s="2" t="n">
        <x:f>B13</x:f>
        <x:v>160</x:v>
      </x:c>
      <x:c r="C26" s="16" t="n">
        <x:f>24*$B26/($B26+$C$4*C$20)</x:f>
        <x:v>15.36</x:v>
      </x:c>
      <x:c r="D26" s="16" t="n">
        <x:f>24*$B26/($B26+$C$4*D$20)</x:f>
        <x:v>12.631578947368421</x:v>
      </x:c>
      <x:c r="E26" s="16" t="n">
        <x:f>24*$B26/($B26+$C$4*E$20)</x:f>
        <x:v>9.974025974025974</x:v>
      </x:c>
      <x:c r="F26" s="16" t="n">
        <x:f>24*$B26/($B26+$C$4*F$20)</x:f>
        <x:v>8.08421052631579</x:v>
      </x:c>
      <x:c r="G26" s="16" t="n">
        <x:f>24*$B26/($B26+$C$4*G$20)</x:f>
        <x:v>6.295081967213115</x:v>
      </x:c>
      <x:c r="H26" s="16" t="n">
        <x:f>24*$B26/($B26+$C$4*H$20)</x:f>
        <x:v>4.598802395209581</x:v>
      </x:c>
      <x:c r="I26" s="16" t="n">
        <x:f>24*$B26/($B26+$C$4*I$20)</x:f>
        <x:v>3.6226415094339623</x:v>
      </x:c>
      <x:c r="J26" s="16" t="n">
        <x:f>24*$B26/($B26+$C$4*J$20)</x:f>
        <x:v>2.543046357615894</x:v>
      </x:c>
      <x:c r="K26" s="2"/>
      <x:c r="L26" s="2"/>
    </x:row>
    <x:row r="27" ht="22" customHeight="1">
      <x:c r="A27" s="2"/>
      <x:c r="B27" s="2" t="n">
        <x:f>B14</x:f>
        <x:v>200</x:v>
      </x:c>
      <x:c r="C27" s="16" t="n">
        <x:f>24*$B27/($B27+$C$4*C$20)</x:f>
        <x:v>16.551724137931036</x:v>
      </x:c>
      <x:c r="D27" s="16" t="n">
        <x:f>24*$B27/($B27+$C$4*D$20)</x:f>
        <x:v>13.953488372093023</x:v>
      </x:c>
      <x:c r="E27" s="16" t="n">
        <x:f>24*$B27/($B27+$C$4*E$20)</x:f>
        <x:v>11.294117647058824</x:v>
      </x:c>
      <x:c r="F27" s="16" t="n">
        <x:f>24*$B27/($B27+$C$4*F$20)</x:f>
        <x:v>9.320388349514563</x:v>
      </x:c>
      <x:c r="G27" s="16" t="n">
        <x:f>24*$B27/($B27+$C$4*G$20)</x:f>
        <x:v>7.384615384615385</x:v>
      </x:c>
      <x:c r="H27" s="16" t="n">
        <x:f>24*$B27/($B27+$C$4*H$20)</x:f>
        <x:v>5.485714285714286</x:v>
      </x:c>
      <x:c r="I27" s="16" t="n">
        <x:f>24*$B27/($B27+$C$4*I$20)</x:f>
        <x:v>4.363636363636363</x:v>
      </x:c>
      <x:c r="J27" s="16" t="n">
        <x:f>24*$B27/($B27+$C$4*J$20)</x:f>
        <x:v>3.096774193548387</x:v>
      </x:c>
      <x:c r="K27" s="2"/>
      <x:c r="L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"/>
      <x:c r="B29" s="4" t="str">
        <x:v>Table values are minimum useful sun hours/day. This assumes the entered sunny charge stays available.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34" customHeight="1">
      <x:c r="A32" s="2"/>
      <x:c r="B32" s="8" t="str">
        <x:v>Days without sun</x:v>
      </x:c>
      <x:c r="C32" s="8" t="str">
        <x:v>RAK 20 mA</x:v>
      </x:c>
      <x:c r="D32" s="8" t="str">
        <x:v>Heltec 160 mA</x:v>
      </x:c>
      <x:c r="E32" s="8" t="str">
        <x:v>RAK rated Wh</x:v>
      </x:c>
      <x:c r="F32" s="8" t="str">
        <x:v>Heltec rated Wh</x:v>
      </x:c>
      <x:c r="G32" s="8" t="str">
        <x:v>RAK cells</x:v>
      </x:c>
      <x:c r="H32" s="8" t="str">
        <x:v>Heltec cells</x:v>
      </x:c>
      <x:c r="I32" s="8" t="str">
        <x:v>Unit</x:v>
      </x:c>
      <x:c r="J32" s="2"/>
      <x:c r="K32" s="2"/>
      <x:c r="L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2" t="n">
        <x:v>1</x:v>
      </x:c>
      <x:c r="C34" s="19" t="n">
        <x:f>$B34*24*20*$C$40/1000</x:f>
        <x:v>1.728</x:v>
      </x:c>
      <x:c r="D34" s="19" t="n">
        <x:f>$B34*24*160*$C$40/1000</x:f>
        <x:v>13.824</x:v>
      </x:c>
      <x:c r="E34" s="19" t="n">
        <x:f>C34/$G$40</x:f>
        <x:v>2.1599999999999997</x:v>
      </x:c>
      <x:c r="F34" s="19" t="n">
        <x:f>D34/$G$40</x:f>
        <x:v>17.279999999999998</x:v>
      </x:c>
      <x:c r="G34" s="18" t="n">
        <x:f>ROUNDUP(E34/($C$40*$E$40/1000),0)</x:f>
        <x:v>1</x:v>
      </x:c>
      <x:c r="H34" s="18" t="n">
        <x:f>ROUNDUP(F34/($C$40*$E$40/1000),0)</x:f>
        <x:v>2</x:v>
      </x:c>
      <x:c r="I34" s="2" t="str">
        <x:v>Wh / cells</x:v>
      </x:c>
      <x:c r="J34" s="2"/>
      <x:c r="K34" s="2"/>
      <x:c r="L34" s="2"/>
    </x:row>
    <x:row r="35" ht="22" customHeight="1">
      <x:c r="A35" s="2"/>
      <x:c r="B35" s="2" t="n">
        <x:v>2</x:v>
      </x:c>
      <x:c r="C35" s="19" t="n">
        <x:f>$B35*24*20*$C$40/1000</x:f>
        <x:v>3.456</x:v>
      </x:c>
      <x:c r="D35" s="19" t="n">
        <x:f>$B35*24*160*$C$40/1000</x:f>
        <x:v>27.648</x:v>
      </x:c>
      <x:c r="E35" s="19" t="n">
        <x:f>C35/$G$40</x:f>
        <x:v>4.319999999999999</x:v>
      </x:c>
      <x:c r="F35" s="19" t="n">
        <x:f>D35/$G$40</x:f>
        <x:v>34.559999999999995</x:v>
      </x:c>
      <x:c r="G35" s="18" t="n">
        <x:f>ROUNDUP(E35/($C$40*$E$40/1000),0)</x:f>
        <x:v>1</x:v>
      </x:c>
      <x:c r="H35" s="18" t="n">
        <x:f>ROUNDUP(F35/($C$40*$E$40/1000),0)</x:f>
        <x:v>4</x:v>
      </x:c>
      <x:c r="I35" s="2" t="str">
        <x:v>Wh / cells</x:v>
      </x:c>
      <x:c r="J35" s="2"/>
      <x:c r="K35" s="2"/>
      <x:c r="L35" s="2"/>
    </x:row>
    <x:row r="36" ht="22" customHeight="1">
      <x:c r="A36" s="2"/>
      <x:c r="B36" s="2" t="n">
        <x:v>3</x:v>
      </x:c>
      <x:c r="C36" s="19" t="n">
        <x:f>$B36*24*20*$C$40/1000</x:f>
        <x:v>5.184</x:v>
      </x:c>
      <x:c r="D36" s="19" t="n">
        <x:f>$B36*24*160*$C$40/1000</x:f>
        <x:v>41.472</x:v>
      </x:c>
      <x:c r="E36" s="19" t="n">
        <x:f>C36/$G$40</x:f>
        <x:v>6.4799999999999995</x:v>
      </x:c>
      <x:c r="F36" s="19" t="n">
        <x:f>D36/$G$40</x:f>
        <x:v>51.839999999999996</x:v>
      </x:c>
      <x:c r="G36" s="18" t="n">
        <x:f>ROUNDUP(E36/($C$40*$E$40/1000),0)</x:f>
        <x:v>1</x:v>
      </x:c>
      <x:c r="H36" s="18" t="n">
        <x:f>ROUNDUP(F36/($C$40*$E$40/1000),0)</x:f>
        <x:v>6</x:v>
      </x:c>
      <x:c r="I36" s="2" t="str">
        <x:v>Wh / cells</x:v>
      </x:c>
      <x:c r="J36" s="2"/>
      <x:c r="K36" s="2"/>
      <x:c r="L36" s="2"/>
    </x:row>
    <x:row r="37" ht="22" customHeight="1">
      <x:c r="A37" s="2"/>
      <x:c r="B37" s="2" t="n">
        <x:v>5</x:v>
      </x:c>
      <x:c r="C37" s="19" t="n">
        <x:f>$B37*24*20*$C$40/1000</x:f>
        <x:v>8.64</x:v>
      </x:c>
      <x:c r="D37" s="19" t="n">
        <x:f>$B37*24*160*$C$40/1000</x:f>
        <x:v>69.12</x:v>
      </x:c>
      <x:c r="E37" s="19" t="n">
        <x:f>C37/$G$40</x:f>
        <x:v>10.8</x:v>
      </x:c>
      <x:c r="F37" s="19" t="n">
        <x:f>D37/$G$40</x:f>
        <x:v>86.4</x:v>
      </x:c>
      <x:c r="G37" s="18" t="n">
        <x:f>ROUNDUP(E37/($C$40*$E$40/1000),0)</x:f>
        <x:v>2</x:v>
      </x:c>
      <x:c r="H37" s="18" t="n">
        <x:f>ROUNDUP(F37/($C$40*$E$40/1000),0)</x:f>
        <x:v>10</x:v>
      </x:c>
      <x:c r="I37" s="2" t="str">
        <x:v>Wh / cells</x:v>
      </x:c>
      <x:c r="J37" s="2"/>
      <x:c r="K37" s="2"/>
      <x:c r="L37" s="2"/>
    </x:row>
    <x:row r="38" ht="22" customHeight="1">
      <x:c r="A38" s="2"/>
      <x:c r="B38" s="2" t="n">
        <x:v>7</x:v>
      </x:c>
      <x:c r="C38" s="19" t="n">
        <x:f>$B38*24*20*$C$40/1000</x:f>
        <x:v>12.096</x:v>
      </x:c>
      <x:c r="D38" s="19" t="n">
        <x:f>$B38*24*160*$C$40/1000</x:f>
        <x:v>96.768</x:v>
      </x:c>
      <x:c r="E38" s="19" t="n">
        <x:f>C38/$G$40</x:f>
        <x:v>15.12</x:v>
      </x:c>
      <x:c r="F38" s="19" t="n">
        <x:f>D38/$G$40</x:f>
        <x:v>120.96</x:v>
      </x:c>
      <x:c r="G38" s="18" t="n">
        <x:f>ROUNDUP(E38/($C$40*$E$40/1000),0)</x:f>
        <x:v>2</x:v>
      </x:c>
      <x:c r="H38" s="18" t="n">
        <x:f>ROUNDUP(F38/($C$40*$E$40/1000),0)</x:f>
        <x:v>14</x:v>
      </x:c>
      <x:c r="I38" s="2" t="str">
        <x:v>Wh / cells</x:v>
      </x:c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 t="str">
        <x:v>Cell V</x:v>
      </x:c>
      <x:c r="C40" s="12" t="n">
        <x:v>3.6</x:v>
      </x:c>
      <x:c r="D40" s="2" t="str">
        <x:v>Cell mAh</x:v>
      </x:c>
      <x:c r="E40" s="15" t="n">
        <x:v>2550</x:v>
      </x:c>
      <x:c r="F40" s="2" t="str">
        <x:v>Usable fraction</x:v>
      </x:c>
      <x:c r="G40" s="13" t="n">
        <x:v>0.8</x:v>
      </x:c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34" customHeight="1">
      <x:c r="A44" s="2"/>
      <x:c r="B44" s="8" t="str">
        <x:v>Sun, h/day</x:v>
      </x:c>
      <x:c r="C44" s="8" t="str">
        <x:v>RAK 20 mA</x:v>
      </x:c>
      <x:c r="D44" s="8" t="str">
        <x:v>Heltec 160 mA</x:v>
      </x:c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 t="n">
        <x:v>2</x:v>
      </x:c>
      <x:c r="C45" s="18" t="n">
        <x:f>20*(24-B45)/(B45*$C$4)</x:f>
        <x:v>244.44444444444443</x:v>
      </x:c>
      <x:c r="D45" s="18" t="n">
        <x:f>160*(24-B45)/(B45*$C$4)</x:f>
        <x:v>1955.5555555555554</x:v>
      </x:c>
      <x:c r="E45" s="2"/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 t="n">
        <x:v>3</x:v>
      </x:c>
      <x:c r="C46" s="18" t="n">
        <x:f>20*(24-B46)/(B46*$C$4)</x:f>
        <x:v>155.55555555555554</x:v>
      </x:c>
      <x:c r="D46" s="18" t="n">
        <x:f>160*(24-B46)/(B46*$C$4)</x:f>
        <x:v>1244.4444444444443</x:v>
      </x:c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2" t="n">
        <x:v>4</x:v>
      </x:c>
      <x:c r="C47" s="18" t="n">
        <x:f>20*(24-B47)/(B47*$C$4)</x:f>
        <x:v>111.11111111111111</x:v>
      </x:c>
      <x:c r="D47" s="18" t="n">
        <x:f>160*(24-B47)/(B47*$C$4)</x:f>
        <x:v>888.8888888888889</x:v>
      </x:c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 t="n">
        <x:v>5</x:v>
      </x:c>
      <x:c r="C48" s="18" t="n">
        <x:f>20*(24-B48)/(B48*$C$4)</x:f>
        <x:v>84.44444444444444</x:v>
      </x:c>
      <x:c r="D48" s="18" t="n">
        <x:f>160*(24-B48)/(B48*$C$4)</x:f>
        <x:v>675.5555555555555</x:v>
      </x:c>
      <x:c r="E48" s="2"/>
      <x:c r="F48" s="2"/>
      <x:c r="G48" s="2"/>
      <x:c r="H48" s="2"/>
      <x:c r="I48" s="2"/>
      <x:c r="J48" s="2"/>
      <x:c r="K48" s="2"/>
      <x:c r="L48" s="2"/>
    </x:row>
    <x:row r="49" ht="22" customHeight="1">
      <x:c r="A49" s="2"/>
      <x:c r="B49" s="2" t="n">
        <x:v>6</x:v>
      </x:c>
      <x:c r="C49" s="18" t="n">
        <x:f>20*(24-B49)/(B49*$C$4)</x:f>
        <x:v>66.66666666666666</x:v>
      </x:c>
      <x:c r="D49" s="18" t="n">
        <x:f>160*(24-B49)/(B49*$C$4)</x:f>
        <x:v>533.3333333333333</x:v>
      </x:c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/>
      <x:c r="B50" s="2" t="n">
        <x:v>7</x:v>
      </x:c>
      <x:c r="C50" s="18" t="n">
        <x:f>20*(24-B50)/(B50*$C$4)</x:f>
        <x:v>53.96825396825397</x:v>
      </x:c>
      <x:c r="D50" s="18" t="n">
        <x:f>160*(24-B50)/(B50*$C$4)</x:f>
        <x:v>431.74603174603175</x:v>
      </x:c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2" t="n">
        <x:v>8</x:v>
      </x:c>
      <x:c r="C51" s="18" t="n">
        <x:f>20*(24-B51)/(B51*$C$4)</x:f>
        <x:v>44.44444444444444</x:v>
      </x:c>
      <x:c r="D51" s="18" t="n">
        <x:f>160*(24-B51)/(B51*$C$4)</x:f>
        <x:v>355.55555555555554</x:v>
      </x:c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 t="n">
        <x:v>9</x:v>
      </x:c>
      <x:c r="C52" s="18" t="n">
        <x:f>20*(24-B52)/(B52*$C$4)</x:f>
        <x:v>37.03703703703704</x:v>
      </x:c>
      <x:c r="D52" s="18" t="n">
        <x:f>160*(24-B52)/(B52*$C$4)</x:f>
        <x:v>296.2962962962963</x:v>
      </x:c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pageMargins left="0.7" right="0.7" top="0.75" bottom="0.75" header="0.3" footer="0.3"/>
  <x:drawing xmlns:r="http://schemas.openxmlformats.org/officeDocument/2006/relationships" r:id="R0f388d9995ce40a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43" hidden="0" customWidth="1"/>
    <x:col min="4" max="4" width="65" hidden="0" customWidth="1"/>
    <x:col min="5" max="5" width="43" hidden="0" customWidth="1"/>
    <x:col min="6" max="6" width="17" hidden="0" customWidth="1"/>
    <x:col min="7" max="7" width="3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Measurements and source assumptions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4" t="str">
        <x:v>Keep measured data separate from sizing scenarios. Positive current below means battery discharge.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2"/>
      <x:c r="B5" s="8" t="str">
        <x:v>Operating mode</x:v>
      </x:c>
      <x:c r="C5" s="8" t="str">
        <x:v>Time share</x:v>
      </x:c>
      <x:c r="D5" s="8" t="str">
        <x:v>Battery current, mA</x:v>
      </x:c>
      <x:c r="E5" s="8" t="str">
        <x:v>Battery V</x:v>
      </x:c>
      <x:c r="F5" s="8" t="str">
        <x:v>Average W contribution</x:v>
      </x:c>
      <x:c r="G5" s="2"/>
      <x:c r="H5" s="2"/>
      <x:c r="I5" s="2"/>
      <x:c r="J5" s="2"/>
      <x:c r="K5" s="2"/>
      <x:c r="L5" s="2"/>
    </x:row>
    <x:row r="6" ht="22" customHeight="1">
      <x:c r="A6" s="2"/>
      <x:c r="B6" s="2" t="str">
        <x:v>Normal operation</x:v>
      </x:c>
      <x:c r="C6" s="22" t="n">
        <x:v>1</x:v>
      </x:c>
      <x:c r="D6" s="23" t="n">
        <x:v>160</x:v>
      </x:c>
      <x:c r="E6" s="23" t="n">
        <x:v>3.6</x:v>
      </x:c>
      <x:c r="F6" s="17" t="n">
        <x:f>C6*D6*E6/1000</x:f>
        <x:v>0.576</x:v>
      </x:c>
      <x:c r="G6" s="2"/>
      <x:c r="H6" s="2"/>
      <x:c r="I6" s="2"/>
      <x:c r="J6" s="2"/>
      <x:c r="K6" s="2"/>
      <x:c r="L6" s="2"/>
    </x:row>
    <x:row r="7" ht="22" customHeight="1">
      <x:c r="A7" s="2"/>
      <x:c r="B7" s="2" t="str">
        <x:v>Radio transmit</x:v>
      </x:c>
      <x:c r="C7" s="22" t="n">
        <x:v>0</x:v>
      </x:c>
      <x:c r="D7" s="23" t="n">
        <x:v>300</x:v>
      </x:c>
      <x:c r="E7" s="23" t="n">
        <x:v>3.6</x:v>
      </x:c>
      <x:c r="F7" s="17" t="n">
        <x:f>C7*D7*E7/1000</x:f>
        <x:v>0</x:v>
      </x:c>
      <x:c r="G7" s="2"/>
      <x:c r="H7" s="2"/>
      <x:c r="I7" s="2"/>
      <x:c r="J7" s="2"/>
      <x:c r="K7" s="2"/>
      <x:c r="L7" s="2"/>
    </x:row>
    <x:row r="8" ht="22" customHeight="1">
      <x:c r="A8" s="2"/>
      <x:c r="B8" s="2" t="str">
        <x:v>Sleep</x:v>
      </x:c>
      <x:c r="C8" s="22" t="n">
        <x:v>0</x:v>
      </x:c>
      <x:c r="D8" s="23" t="n">
        <x:v>0.1</x:v>
      </x:c>
      <x:c r="E8" s="23" t="n">
        <x:v>3.6</x:v>
      </x:c>
      <x:c r="F8" s="17" t="n">
        <x:f>C8*D8*E8/1000</x:f>
        <x:v>0</x:v>
      </x:c>
      <x:c r="G8" s="2"/>
      <x:c r="H8" s="2"/>
      <x:c r="I8" s="2"/>
      <x:c r="J8" s="2"/>
      <x:c r="K8" s="2"/>
      <x:c r="L8" s="2"/>
    </x:row>
    <x:row r="9" ht="22" customHeight="1">
      <x:c r="A9" s="2"/>
      <x:c r="B9" s="2" t="str">
        <x:v>Other</x:v>
      </x:c>
      <x:c r="C9" s="22" t="n">
        <x:v>0</x:v>
      </x:c>
      <x:c r="D9" s="23" t="n">
        <x:v>50</x:v>
      </x:c>
      <x:c r="E9" s="23" t="n">
        <x:v>3.6</x:v>
      </x:c>
      <x:c r="F9" s="17" t="n">
        <x:f>C9*D9*E9/1000</x:f>
        <x:v>0</x:v>
      </x:c>
      <x:c r="G9" s="2"/>
      <x:c r="H9" s="2"/>
      <x:c r="I9" s="2"/>
      <x:c r="J9" s="2"/>
      <x:c r="K9" s="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 t="str">
        <x:v>Time-share total</x:v>
      </x:c>
      <x:c r="C11" s="21" t="n">
        <x:f>SUM(C6:C9)</x:f>
        <x:v>1</x:v>
      </x:c>
      <x:c r="D11" s="2" t="str">
        <x:v>Weighted power, W</x:v>
      </x:c>
      <x:c r="E11" s="2"/>
      <x:c r="F11" s="2" t="n">
        <x:f>IF(ABS(C11-1)&gt;0.000001,"Shares must total 100%",SUM(F6:F9))</x:f>
        <x:v>0.576</x:v>
      </x:c>
      <x:c r="G11" s="2"/>
      <x:c r="H11" s="2"/>
      <x:c r="I11" s="2"/>
      <x:c r="J11" s="2"/>
      <x:c r="K11" s="2"/>
      <x:c r="L11" s="2"/>
    </x:row>
    <x:row r="12" ht="22" customHeight="1">
      <x:c r="A12" s="2"/>
      <x:c r="B12" s="2" t="str">
        <x:v>Weighted current, mA</x:v>
      </x:c>
      <x:c r="C12" s="2" t="n">
        <x:f>IF(ABS(C11-1)&gt;0.000001,"Shares must total 100%",SUMPRODUCT(C6:C9,D6:D9))</x:f>
        <x:v>160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4" t="str">
        <x:v>Mode values are examples. Copy a measured average to Fleet; this workpad does not replace fleet inputs.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2"/>
      <x:c r="B17" s="8" t="str">
        <x:v>Interval start</x:v>
      </x:c>
      <x:c r="C17" s="8" t="str">
        <x:v>Interval end</x:v>
      </x:c>
      <x:c r="D17" s="8" t="str">
        <x:v>Average battery V</x:v>
      </x:c>
      <x:c r="E17" s="8" t="str">
        <x:v>Average discharge mA</x:v>
      </x:c>
      <x:c r="F17" s="8" t="str">
        <x:v>Elapsed h</x:v>
      </x:c>
      <x:c r="G17" s="8" t="str">
        <x:v>Energy Wh</x:v>
      </x:c>
      <x:c r="H17" s="8" t="str">
        <x:v>Capacity mAh</x:v>
      </x:c>
      <x:c r="I17" s="2"/>
      <x:c r="J17" s="2"/>
      <x:c r="K17" s="2"/>
      <x:c r="L17" s="2"/>
    </x:row>
    <x:row r="18" ht="22" customHeight="1">
      <x:c r="A18" s="2"/>
      <x:c r="B18" s="24"/>
      <x:c r="C18" s="24"/>
      <x:c r="D18" s="23"/>
      <x:c r="E18" s="23"/>
      <x:c r="F18" s="17" t="str">
        <x:f>IF(COUNTA(B18:E18)=0,"",IF(COUNT(B18:E18)&lt;4,"Inputs needed",IF(C18&lt;B18,"Time order invalid",(C18-B18)*24)))</x:f>
      </x:c>
      <x:c r="G18" s="17" t="str">
        <x:f>IF(ISNUMBER(F18),D18*E18/1000*F18,F18)</x:f>
      </x:c>
      <x:c r="H18" s="17" t="str">
        <x:f>IF(ISNUMBER(F18),E18*F18,F18)</x:f>
      </x:c>
      <x:c r="I18" s="2"/>
      <x:c r="J18" s="2"/>
      <x:c r="K18" s="2"/>
      <x:c r="L18" s="2"/>
    </x:row>
    <x:row r="19" ht="22" customHeight="1">
      <x:c r="A19" s="2"/>
      <x:c r="B19" s="24"/>
      <x:c r="C19" s="24"/>
      <x:c r="D19" s="23"/>
      <x:c r="E19" s="23"/>
      <x:c r="F19" s="17" t="str">
        <x:f>IF(COUNTA(B19:E19)=0,"",IF(COUNT(B19:E19)&lt;4,"Inputs needed",IF(C19&lt;B19,"Time order invalid",(C19-B19)*24)))</x:f>
      </x:c>
      <x:c r="G19" s="17" t="str">
        <x:f>IF(ISNUMBER(F19),D19*E19/1000*F19,F19)</x:f>
      </x:c>
      <x:c r="H19" s="17" t="str">
        <x:f>IF(ISNUMBER(F19),E19*F19,F19)</x:f>
      </x:c>
      <x:c r="I19" s="2"/>
      <x:c r="J19" s="2"/>
      <x:c r="K19" s="2"/>
      <x:c r="L19" s="2"/>
    </x:row>
    <x:row r="20" ht="22" customHeight="1">
      <x:c r="A20" s="2"/>
      <x:c r="B20" s="24"/>
      <x:c r="C20" s="24"/>
      <x:c r="D20" s="23"/>
      <x:c r="E20" s="23"/>
      <x:c r="F20" s="17" t="str">
        <x:f>IF(COUNTA(B20:E20)=0,"",IF(COUNT(B20:E20)&lt;4,"Inputs needed",IF(C20&lt;B20,"Time order invalid",(C20-B20)*24)))</x:f>
      </x:c>
      <x:c r="G20" s="17" t="str">
        <x:f>IF(ISNUMBER(F20),D20*E20/1000*F20,F20)</x:f>
      </x:c>
      <x:c r="H20" s="17" t="str">
        <x:f>IF(ISNUMBER(F20),E20*F20,F20)</x:f>
      </x:c>
      <x:c r="I20" s="2"/>
      <x:c r="J20" s="2"/>
      <x:c r="K20" s="2"/>
      <x:c r="L20" s="2"/>
    </x:row>
    <x:row r="21" ht="22" customHeight="1">
      <x:c r="A21" s="2"/>
      <x:c r="B21" s="24"/>
      <x:c r="C21" s="24"/>
      <x:c r="D21" s="23"/>
      <x:c r="E21" s="23"/>
      <x:c r="F21" s="17" t="str">
        <x:f>IF(COUNTA(B21:E21)=0,"",IF(COUNT(B21:E21)&lt;4,"Inputs needed",IF(C21&lt;B21,"Time order invalid",(C21-B21)*24)))</x:f>
      </x:c>
      <x:c r="G21" s="17" t="str">
        <x:f>IF(ISNUMBER(F21),D21*E21/1000*F21,F21)</x:f>
      </x:c>
      <x:c r="H21" s="17" t="str">
        <x:f>IF(ISNUMBER(F21),E21*F21,F21)</x:f>
      </x:c>
      <x:c r="I21" s="2"/>
      <x:c r="J21" s="2"/>
      <x:c r="K21" s="2"/>
      <x:c r="L21" s="2"/>
    </x:row>
    <x:row r="22" ht="22" customHeight="1">
      <x:c r="A22" s="2"/>
      <x:c r="B22" s="24"/>
      <x:c r="C22" s="24"/>
      <x:c r="D22" s="23"/>
      <x:c r="E22" s="23"/>
      <x:c r="F22" s="17" t="str">
        <x:f>IF(COUNTA(B22:E22)=0,"",IF(COUNT(B22:E22)&lt;4,"Inputs needed",IF(C22&lt;B22,"Time order invalid",(C22-B22)*24)))</x:f>
      </x:c>
      <x:c r="G22" s="17" t="str">
        <x:f>IF(ISNUMBER(F22),D22*E22/1000*F22,F22)</x:f>
      </x:c>
      <x:c r="H22" s="17" t="str">
        <x:f>IF(ISNUMBER(F22),E22*F22,F22)</x:f>
      </x:c>
      <x:c r="I22" s="2"/>
      <x:c r="J22" s="2"/>
      <x:c r="K22" s="2"/>
      <x:c r="L22" s="2"/>
    </x:row>
    <x:row r="23" ht="22" customHeight="1">
      <x:c r="A23" s="2"/>
      <x:c r="B23" s="24"/>
      <x:c r="C23" s="24"/>
      <x:c r="D23" s="23"/>
      <x:c r="E23" s="23"/>
      <x:c r="F23" s="17" t="str">
        <x:f>IF(COUNTA(B23:E23)=0,"",IF(COUNT(B23:E23)&lt;4,"Inputs needed",IF(C23&lt;B23,"Time order invalid",(C23-B23)*24)))</x:f>
      </x:c>
      <x:c r="G23" s="17" t="str">
        <x:f>IF(ISNUMBER(F23),D23*E23/1000*F23,F23)</x:f>
      </x:c>
      <x:c r="H23" s="17" t="str">
        <x:f>IF(ISNUMBER(F23),E23*F23,F23)</x:f>
      </x:c>
      <x:c r="I23" s="2"/>
      <x:c r="J23" s="2"/>
      <x:c r="K23" s="2"/>
      <x:c r="L23" s="2"/>
    </x:row>
    <x:row r="24" ht="22" customHeight="1">
      <x:c r="A24" s="2"/>
      <x:c r="B24" s="24"/>
      <x:c r="C24" s="24"/>
      <x:c r="D24" s="23"/>
      <x:c r="E24" s="23"/>
      <x:c r="F24" s="17" t="str">
        <x:f>IF(COUNTA(B24:E24)=0,"",IF(COUNT(B24:E24)&lt;4,"Inputs needed",IF(C24&lt;B24,"Time order invalid",(C24-B24)*24)))</x:f>
      </x:c>
      <x:c r="G24" s="17" t="str">
        <x:f>IF(ISNUMBER(F24),D24*E24/1000*F24,F24)</x:f>
      </x:c>
      <x:c r="H24" s="17" t="str">
        <x:f>IF(ISNUMBER(F24),E24*F24,F24)</x:f>
      </x:c>
      <x:c r="I24" s="2"/>
      <x:c r="J24" s="2"/>
      <x:c r="K24" s="2"/>
      <x:c r="L24" s="2"/>
    </x:row>
    <x:row r="25" ht="22" customHeight="1">
      <x:c r="A25" s="2"/>
      <x:c r="B25" s="24"/>
      <x:c r="C25" s="24"/>
      <x:c r="D25" s="23"/>
      <x:c r="E25" s="23"/>
      <x:c r="F25" s="17" t="str">
        <x:f>IF(COUNTA(B25:E25)=0,"",IF(COUNT(B25:E25)&lt;4,"Inputs needed",IF(C25&lt;B25,"Time order invalid",(C25-B25)*24)))</x:f>
      </x:c>
      <x:c r="G25" s="17" t="str">
        <x:f>IF(ISNUMBER(F25),D25*E25/1000*F25,F25)</x:f>
      </x:c>
      <x:c r="H25" s="17" t="str">
        <x:f>IF(ISNUMBER(F25),E25*F25,F25)</x:f>
      </x:c>
      <x:c r="I25" s="2"/>
      <x:c r="J25" s="2"/>
      <x:c r="K25" s="2"/>
      <x:c r="L25" s="2"/>
    </x:row>
    <x:row r="26" ht="22" customHeight="1">
      <x:c r="A26" s="2"/>
      <x:c r="B26" s="24"/>
      <x:c r="C26" s="24"/>
      <x:c r="D26" s="23"/>
      <x:c r="E26" s="23"/>
      <x:c r="F26" s="17" t="str">
        <x:f>IF(COUNTA(B26:E26)=0,"",IF(COUNT(B26:E26)&lt;4,"Inputs needed",IF(C26&lt;B26,"Time order invalid",(C26-B26)*24)))</x:f>
      </x:c>
      <x:c r="G26" s="17" t="str">
        <x:f>IF(ISNUMBER(F26),D26*E26/1000*F26,F26)</x:f>
      </x:c>
      <x:c r="H26" s="17" t="str">
        <x:f>IF(ISNUMBER(F26),E26*F26,F26)</x:f>
      </x:c>
      <x:c r="I26" s="2"/>
      <x:c r="J26" s="2"/>
      <x:c r="K26" s="2"/>
      <x:c r="L26" s="2"/>
    </x:row>
    <x:row r="27" ht="22" customHeight="1">
      <x:c r="A27" s="2"/>
      <x:c r="B27" s="24"/>
      <x:c r="C27" s="24"/>
      <x:c r="D27" s="23"/>
      <x:c r="E27" s="23"/>
      <x:c r="F27" s="17" t="str">
        <x:f>IF(COUNTA(B27:E27)=0,"",IF(COUNT(B27:E27)&lt;4,"Inputs needed",IF(C27&lt;B27,"Time order invalid",(C27-B27)*24)))</x:f>
      </x:c>
      <x:c r="G27" s="17" t="str">
        <x:f>IF(ISNUMBER(F27),D27*E27/1000*F27,F27)</x:f>
      </x:c>
      <x:c r="H27" s="17" t="str">
        <x:f>IF(ISNUMBER(F27),E27*F27,F27)</x:f>
      </x:c>
      <x:c r="I27" s="2"/>
      <x:c r="J27" s="2"/>
      <x:c r="K27" s="2"/>
      <x:c r="L27" s="2"/>
    </x:row>
    <x:row r="28" ht="22" customHeight="1">
      <x:c r="A28" s="2"/>
      <x:c r="B28" s="24"/>
      <x:c r="C28" s="24"/>
      <x:c r="D28" s="23"/>
      <x:c r="E28" s="23"/>
      <x:c r="F28" s="17" t="str">
        <x:f>IF(COUNTA(B28:E28)=0,"",IF(COUNT(B28:E28)&lt;4,"Inputs needed",IF(C28&lt;B28,"Time order invalid",(C28-B28)*24)))</x:f>
      </x:c>
      <x:c r="G28" s="17" t="str">
        <x:f>IF(ISNUMBER(F28),D28*E28/1000*F28,F28)</x:f>
      </x:c>
      <x:c r="H28" s="17" t="str">
        <x:f>IF(ISNUMBER(F28),E28*F28,F28)</x:f>
      </x:c>
      <x:c r="I28" s="2"/>
      <x:c r="J28" s="2"/>
      <x:c r="K28" s="2"/>
      <x:c r="L28" s="2"/>
    </x:row>
    <x:row r="29" ht="22" customHeight="1">
      <x:c r="A29" s="2"/>
      <x:c r="B29" s="24"/>
      <x:c r="C29" s="24"/>
      <x:c r="D29" s="23"/>
      <x:c r="E29" s="23"/>
      <x:c r="F29" s="17" t="str">
        <x:f>IF(COUNTA(B29:E29)=0,"",IF(COUNT(B29:E29)&lt;4,"Inputs needed",IF(C29&lt;B29,"Time order invalid",(C29-B29)*24)))</x:f>
      </x:c>
      <x:c r="G29" s="17" t="str">
        <x:f>IF(ISNUMBER(F29),D29*E29/1000*F29,F29)</x:f>
      </x:c>
      <x:c r="H29" s="17" t="str">
        <x:f>IF(ISNUMBER(F29),E29*F29,F29)</x:f>
      </x:c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 t="str">
        <x:v>Recorded discharge Wh</x:v>
      </x:c>
      <x:c r="C31" s="2"/>
      <x:c r="D31" s="2"/>
      <x:c r="E31" s="2"/>
      <x:c r="F31" s="2"/>
      <x:c r="G31" s="2" t="str">
        <x:f>IF(COUNTIFS(F18:F29,"Inputs needed")+COUNTIFS(F18:F29,"Time order invalid")&gt;0,"Fix interval inputs",IF(COUNT(G18:G29)=0,"No intervals",SUM(G18:G29)))</x:f>
        <x:v>No intervals</x:v>
      </x:c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"/>
      <x:c r="B33" s="4" t="str">
        <x:v>Enter interval averages, not sparse instantaneous samples. For charge use negative current.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4" t="str">
        <x:v>Blank rows are omitted; invalid intervals stay visible. Totals cover recorded intervals only.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34" customHeight="1">
      <x:c r="A37" s="2"/>
      <x:c r="B37" s="8" t="str">
        <x:v>2026-10-24 12:24 Pacific</x:v>
      </x:c>
      <x:c r="C37" s="8" t="str">
        <x:v>Battery V</x:v>
      </x:c>
      <x:c r="D37" s="8" t="str">
        <x:v>Signed INA mA</x:v>
      </x:c>
      <x:c r="E37" s="8" t="str">
        <x:v>30-min min mA</x:v>
      </x:c>
      <x:c r="F37" s="8" t="str">
        <x:v>30-min max mA</x:v>
      </x:c>
      <x:c r="G37" s="8" t="str">
        <x:v>Evidence status</x:v>
      </x:c>
      <x:c r="H37" s="2"/>
      <x:c r="I37" s="2"/>
      <x:c r="J37" s="2"/>
      <x:c r="K37" s="2"/>
      <x:c r="L37" s="2"/>
    </x:row>
    <x:row r="38" ht="22" customHeight="1">
      <x:c r="A38" s="2"/>
      <x:c r="B38" s="2" t="str">
        <x:v>R002</x:v>
      </x:c>
      <x:c r="C38" s="17" t="n">
        <x:v>4.154</x:v>
      </x:c>
      <x:c r="D38" s="17" t="n">
        <x:v>-0.6</x:v>
      </x:c>
      <x:c r="E38" s="17" t="n">
        <x:v>-104.3</x:v>
      </x:c>
      <x:c r="F38" s="17" t="n">
        <x:v>-0.1</x:v>
      </x:c>
      <x:c r="G38" s="2" t="str">
        <x:v>Bench; polarity/source unverified</x:v>
      </x:c>
      <x:c r="H38" s="2"/>
      <x:c r="I38" s="2"/>
      <x:c r="J38" s="2"/>
      <x:c r="K38" s="2"/>
      <x:c r="L38" s="2"/>
    </x:row>
    <x:row r="39" ht="22" customHeight="1">
      <x:c r="A39" s="2"/>
      <x:c r="B39" s="2" t="str">
        <x:v>R004</x:v>
      </x:c>
      <x:c r="C39" s="17" t="n">
        <x:v>3.621</x:v>
      </x:c>
      <x:c r="D39" s="17" t="n">
        <x:v>-107.1</x:v>
      </x:c>
      <x:c r="E39" s="17" t="n">
        <x:v>-109.5</x:v>
      </x:c>
      <x:c r="F39" s="17" t="n">
        <x:v>-79.4</x:v>
      </x:c>
      <x:c r="G39" s="2" t="str">
        <x:v>Bench; polarity/source unverified</x:v>
      </x:c>
      <x:c r="H39" s="2"/>
      <x:c r="I39" s="2"/>
      <x:c r="J39" s="2"/>
      <x:c r="K39" s="2"/>
      <x:c r="L39" s="2"/>
    </x:row>
    <x:row r="40" ht="22" customHeight="1">
      <x:c r="A40" s="2"/>
      <x:c r="B40" s="2" t="str">
        <x:v>R006</x:v>
      </x:c>
      <x:c r="C40" s="17" t="n">
        <x:v>3.977</x:v>
      </x:c>
      <x:c r="D40" s="17" t="n">
        <x:v>-106.9</x:v>
      </x:c>
      <x:c r="E40" s="17" t="n">
        <x:v>-112.8</x:v>
      </x:c>
      <x:c r="F40" s="17" t="n">
        <x:v>-54.3</x:v>
      </x:c>
      <x:c r="G40" s="2" t="str">
        <x:v>Bench; polarity/source unverified</x:v>
      </x:c>
      <x:c r="H40" s="2"/>
      <x:c r="I40" s="2"/>
      <x:c r="J40" s="2"/>
      <x:c r="K40" s="2"/>
      <x:c r="L40" s="2"/>
    </x:row>
    <x:row r="41" ht="22" customHeight="1">
      <x:c r="A41" s="2"/>
      <x:c r="B41" s="2" t="str">
        <x:v>G003</x:v>
      </x:c>
      <x:c r="C41" s="17" t="n">
        <x:v>3.919</x:v>
      </x:c>
      <x:c r="D41" s="17" t="n">
        <x:v>-4.2</x:v>
      </x:c>
      <x:c r="E41" s="17" t="n">
        <x:v>-141.7</x:v>
      </x:c>
      <x:c r="F41" s="17" t="n">
        <x:v>129.3</x:v>
      </x:c>
      <x:c r="G41" s="2" t="str">
        <x:v>Mixed signs; not solar acceptance</x:v>
      </x:c>
      <x:c r="H41" s="2"/>
      <x:c r="I41" s="2"/>
      <x:c r="J41" s="2"/>
      <x:c r="K41" s="2"/>
      <x:c r="L41" s="2"/>
    </x:row>
    <x:row r="42" ht="22" customHeight="1">
      <x:c r="A42" s="2"/>
      <x:c r="B42" s="2" t="str">
        <x:v>G004</x:v>
      </x:c>
      <x:c r="C42" s="17" t="n">
        <x:v>3.896</x:v>
      </x:c>
      <x:c r="D42" s="17" t="n">
        <x:v>-545.8</x:v>
      </x:c>
      <x:c r="E42" s="17" t="n">
        <x:v>-545.8</x:v>
      </x:c>
      <x:c r="F42" s="17" t="n">
        <x:v>169.4</x:v>
      </x:c>
      <x:c r="G42" s="2" t="str">
        <x:v>Mixed signs; not solar acceptance</x:v>
      </x:c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34" customHeight="1">
      <x:c r="A45" s="2"/>
      <x:c r="B45" s="8" t="str">
        <x:v>Input / reference</x:v>
      </x:c>
      <x:c r="C45" s="8" t="str">
        <x:v>Value or scope</x:v>
      </x:c>
      <x:c r="D45" s="8" t="str">
        <x:v>Source</x:v>
      </x:c>
      <x:c r="E45" s="8" t="str">
        <x:v>Status</x:v>
      </x:c>
      <x:c r="F45" s="8" t="str">
        <x:v>Date</x:v>
      </x:c>
      <x:c r="G45" s="2"/>
      <x:c r="H45" s="2"/>
      <x:c r="I45" s="2"/>
      <x:c r="J45" s="2"/>
      <x:c r="K45" s="2"/>
      <x:c r="L45" s="2"/>
    </x:row>
    <x:row r="46" ht="42" customHeight="1">
      <x:c r="A46" s="2"/>
      <x:c r="B46" s="25" t="str">
        <x:v>EVE 26V</x:v>
      </x:c>
      <x:c r="C46" s="25" t="str">
        <x:v>2550 mAh; 3.6 V nominal</x:v>
      </x:c>
      <x:c r="D46" s="25" t="str">
        <x:v>https://www.evebatteryusa.com/18650-and-21700-specifications</x:v>
      </x:c>
      <x:c r="E46" s="25" t="str">
        <x:v>Manufacturer rating</x:v>
      </x:c>
      <x:c r="F46" s="25" t="str">
        <x:v>2026-10-24</x:v>
      </x:c>
      <x:c r="G46" s="2"/>
      <x:c r="H46" s="2"/>
      <x:c r="I46" s="2"/>
      <x:c r="J46" s="2"/>
      <x:c r="K46" s="2"/>
      <x:c r="L46" s="2"/>
    </x:row>
    <x:row r="47" ht="42" customHeight="1">
      <x:c r="A47" s="2"/>
      <x:c r="B47" s="25" t="str">
        <x:v>Node cell allocations</x:v>
      </x:c>
      <x:c r="C47" s="25" t="str">
        <x:v>R002 4 provisional; R004/R006/G004 4; G003 8</x:v>
      </x:c>
      <x:c r="D47" s="25" t="str">
        <x:v>Project inventory, owner allocation 2026-10-24</x:v>
      </x:c>
      <x:c r="E47" s="25" t="str">
        <x:v>Topology / actual capacity unverified</x:v>
      </x:c>
      <x:c r="F47" s="25" t="str">
        <x:v>2026-10-24</x:v>
      </x:c>
      <x:c r="G47" s="2"/>
      <x:c r="H47" s="2"/>
      <x:c r="I47" s="2"/>
      <x:c r="J47" s="2"/>
      <x:c r="K47" s="2"/>
      <x:c r="L47" s="2"/>
    </x:row>
    <x:row r="48" ht="42" customHeight="1">
      <x:c r="A48" s="2"/>
      <x:c r="B48" s="25" t="str">
        <x:v>Heltec battery load</x:v>
      </x:c>
      <x:c r="C48" s="25" t="str">
        <x:v>Owner recalled 160 mA; prior slider 155 mA</x:v>
      </x:c>
      <x:c r="D48" s="25" t="str">
        <x:v>Owner clarification in this conversation</x:v>
      </x:c>
      <x:c r="E48" s="25" t="str">
        <x:v>Planning average; V3/V4 may differ</x:v>
      </x:c>
      <x:c r="F48" s="25" t="str">
        <x:v>2026-10-24</x:v>
      </x:c>
      <x:c r="G48" s="2"/>
      <x:c r="H48" s="2"/>
      <x:c r="I48" s="2"/>
      <x:c r="J48" s="2"/>
      <x:c r="K48" s="2"/>
      <x:c r="L48" s="2"/>
    </x:row>
    <x:row r="49" ht="42" customHeight="1">
      <x:c r="A49" s="2"/>
      <x:c r="B49" s="25" t="str">
        <x:v>Sunny current scenarios</x:v>
      </x:c>
      <x:c r="C49" s="25" t="str">
        <x:v>R006 200 mA; G003 500 mA</x:v>
      </x:c>
      <x:c r="D49" s="25" t="str">
        <x:v>Prior interactive calculator settings</x:v>
      </x:c>
      <x:c r="E49" s="25" t="str">
        <x:v>Scenario edits, not new measurements</x:v>
      </x:c>
      <x:c r="F49" s="25" t="str">
        <x:v>2026-10-24</x:v>
      </x:c>
      <x:c r="G49" s="2"/>
      <x:c r="H49" s="2"/>
      <x:c r="I49" s="2"/>
      <x:c r="J49" s="2"/>
      <x:c r="K49" s="2"/>
      <x:c r="L49" s="2"/>
    </x:row>
    <x:row r="50" ht="42" customHeight="1">
      <x:c r="A50" s="2"/>
      <x:c r="B50" s="25" t="str">
        <x:v>Live current snapshot</x:v>
      </x:c>
      <x:c r="C50" s="25" t="str">
        <x:v>Battery / channel-1 readings above</x:v>
      </x:c>
      <x:c r="D50" s="25" t="str">
        <x:v>Read-only production observations at 19:24:40 UTC</x:v>
      </x:c>
      <x:c r="E50" s="25" t="str">
        <x:v>Historical bench snapshot</x:v>
      </x:c>
      <x:c r="F50" s="25" t="str">
        <x:v>2026-10-24</x:v>
      </x:c>
      <x:c r="G50" s="2"/>
      <x:c r="H50" s="2"/>
      <x:c r="I50" s="2"/>
      <x:c r="J50" s="2"/>
      <x:c r="K50" s="2"/>
      <x:c r="L50" s="2"/>
    </x:row>
    <x:row r="51" ht="42" customHeight="1">
      <x:c r="A51" s="2"/>
      <x:c r="B51" s="25" t="str">
        <x:v>RAK charger</x:v>
      </x:c>
      <x:c r="C51" s="25" t="str">
        <x:v>350 mA reference</x:v>
      </x:c>
      <x:c r="D51" s="25" t="str">
        <x:v>https://docs.rakwireless.com/product-categories/wisblock/rak19003/datasheet/</x:v>
      </x:c>
      <x:c r="E51" s="25" t="str">
        <x:v>Spec reference; not guaranteed harvest</x:v>
      </x:c>
      <x:c r="F51" s="25" t="str">
        <x:v>2026-10-24</x:v>
      </x:c>
      <x:c r="G51" s="2"/>
      <x:c r="H51" s="2"/>
      <x:c r="I51" s="2"/>
      <x:c r="J51" s="2"/>
      <x:c r="K51" s="2"/>
      <x:c r="L51" s="2"/>
    </x:row>
    <x:row r="52" ht="42" customHeight="1">
      <x:c r="A52" s="2"/>
      <x:c r="B52" s="25" t="str">
        <x:v>Heltec V4 charge entry</x:v>
      </x:c>
      <x:c r="C52" s="25" t="str">
        <x:v>USB 5 V charging: 500 mA</x:v>
      </x:c>
      <x:c r="D52" s="25" t="str">
        <x:v>https://resource.heltec.cn/download/WiFi_LoRa_32_V4/datasheet/WiFi_LoRa_32_V4.2.0.pdf</x:v>
      </x:c>
      <x:c r="E52" s="25" t="str">
        <x:v>Not a measured solar current ceiling</x:v>
      </x:c>
      <x:c r="F52" s="25" t="str">
        <x:v>2026-10-24</x:v>
      </x:c>
      <x:c r="G52" s="2"/>
      <x:c r="H52" s="2"/>
      <x:c r="I52" s="2"/>
      <x:c r="J52" s="2"/>
      <x:c r="K52" s="2"/>
      <x:c r="L52" s="2"/>
    </x:row>
    <x:row r="53" ht="42" customHeight="1">
      <x:c r="A53" s="2"/>
      <x:c r="B53" s="25" t="str">
        <x:v>LOCAL-10</x:v>
      </x:c>
      <x:c r="C53" s="25" t="str">
        <x:v>RAK dual-panel housing</x:v>
      </x:c>
      <x:c r="D53" s="25" t="str">
        <x:v>Project wishlist, solar-backup-power-tickets revision 84e9c136</x:v>
      </x:c>
      <x:c r="E53" s="25" t="str">
        <x:v>Sizing only; CAD remains deferred</x:v>
      </x:c>
      <x:c r="F53" s="25" t="str">
        <x:v>2026-10-24</x:v>
      </x:c>
      <x:c r="G53" s="2"/>
      <x:c r="H53" s="2"/>
      <x:c r="I53" s="2"/>
      <x:c r="J53" s="2"/>
      <x:c r="K53" s="2"/>
      <x:c r="L53" s="2"/>
    </x:row>
    <x:row r="54" ht="42" customHeight="1">
      <x:c r="A54" s="2"/>
      <x:c r="B54" s="25" t="str">
        <x:v>LOCAL-11</x:v>
      </x:c>
      <x:c r="C54" s="25" t="str">
        <x:v>Dual-panel gateway / combined telemetry</x:v>
      </x:c>
      <x:c r="D54" s="25" t="str">
        <x:v>Project wishlist, solar-backup-power-tickets revision 84e9c136</x:v>
      </x:c>
      <x:c r="E54" s="25" t="str">
        <x:v>No dual-charger compatibility assumed</x:v>
      </x:c>
      <x:c r="F54" s="25" t="str">
        <x:v>2026-10-24</x:v>
      </x:c>
      <x:c r="G54" s="2"/>
      <x:c r="H54" s="2"/>
      <x:c r="I54" s="2"/>
      <x:c r="J54" s="2"/>
      <x:c r="K54" s="2"/>
      <x:c r="L54" s="2"/>
    </x:row>
    <x:row r="55" ht="42" customHeight="1">
      <x:c r="A55" s="2"/>
      <x:c r="B55" s="25" t="str">
        <x:v>LOCAL-12</x:v>
      </x:c>
      <x:c r="C55" s="25" t="str">
        <x:v>4 / 8 cells; 5 V emergency output</x:v>
      </x:c>
      <x:c r="D55" s="25" t="str">
        <x:v>Project wishlist, solar-backup-power-tickets revision 84e9c136</x:v>
      </x:c>
      <x:c r="E55" s="25" t="str">
        <x:v>Topology and path remain proposed</x:v>
      </x:c>
      <x:c r="F55" s="25" t="str">
        <x:v>2026-10-24</x:v>
      </x:c>
      <x:c r="G55" s="2"/>
      <x:c r="H55" s="2"/>
      <x:c r="I55" s="2"/>
      <x:c r="J55" s="2"/>
      <x:c r="K55" s="2"/>
      <x:c r="L55" s="2"/>
    </x:row>
    <x:row r="56" ht="42" customHeight="1">
      <x:c r="A56" s="2"/>
      <x:c r="B56" s="25" t="str">
        <x:v>LOCAL-13</x:v>
      </x:c>
      <x:c r="C56" s="25" t="str">
        <x:v>Faster car USB-C PD pack recharge</x:v>
      </x:c>
      <x:c r="D56" s="25" t="str">
        <x:v>Project wishlist, solar-backup-power-tickets revision 84e9c136</x:v>
      </x:c>
      <x:c r="E56" s="25" t="str">
        <x:v>1 / 2 / 4 A are hypothetical cases</x:v>
      </x:c>
      <x:c r="F56" s="25" t="str">
        <x:v>2026-10-24</x:v>
      </x:c>
      <x:c r="G56" s="2"/>
      <x:c r="H56" s="2"/>
      <x:c r="I56" s="2"/>
      <x:c r="J56" s="2"/>
      <x:c r="K56" s="2"/>
      <x:c r="L56" s="2"/>
    </x:row>
    <x:row r="57" ht="42" customHeight="1">
      <x:c r="A57" s="2"/>
      <x:c r="B57" s="25" t="str">
        <x:v>Efficiencies / reserve</x:v>
      </x:c>
      <x:c r="C57" s="25" t="str">
        <x:v>80% SOC window; conversion assumptions</x:v>
      </x:c>
      <x:c r="D57" s="25" t="str">
        <x:v>Editable planning assumptions in each model</x:v>
      </x:c>
      <x:c r="E57" s="25" t="str">
        <x:v>Replace with measured values</x:v>
      </x:c>
      <x:c r="F57" s="25" t="str">
        <x:v>2026-10-24</x:v>
      </x:c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4" t="str">
        <x:v>Current and voltage must refer to the same physical path. USB mA and battery mA are not interchangeable.</x:v>
      </x:c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4" t="str">
        <x:v>SOC is an input, not inferred from charging voltage. Cell temperature and actual low-voltage cutoff affect usable energy.</x:v>
      </x:c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4" t="str">
        <x:v>Planner estimates do not authorize wiring two chargers, changing current limits, buying parts or field deployment.</x:v>
      </x:c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dataValidations count="3">
    <x:dataValidation type="decimal" operator="between" sqref="C6:C9">
      <x:formula1>0</x:formula1>
      <x:formula2>1</x:formula2>
    </x:dataValidation>
    <x:dataValidation type="decimal" operator="between" sqref="D6:D9">
      <x:formula1>0</x:formula1>
      <x:formula2>100000</x:formula2>
    </x:dataValidation>
    <x:dataValidation type="decimal" operator="between" sqref="E6:E9">
      <x:formula1>0.01</x:formula1>
      <x:formula2>100</x:formula2>
    </x:dataValidation>
  </x:dataValidations>
  <x:pageMargins left="0.7" right="0.7" top="0.75" bottom="0.75" header="0.3" footer="0.3"/>
</x:worksheet>
</file>